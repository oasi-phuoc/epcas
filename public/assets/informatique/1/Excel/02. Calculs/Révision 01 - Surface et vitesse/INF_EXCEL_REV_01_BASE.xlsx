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2. Calculs/Révision 01 - Surface et vitesse/"/>
    </mc:Choice>
  </mc:AlternateContent>
  <xr:revisionPtr revIDLastSave="44" documentId="13_ncr:1_{1495C7A8-D1A2-4306-9CAE-09A61D8F9C80}" xr6:coauthVersionLast="47" xr6:coauthVersionMax="47" xr10:uidLastSave="{ED0171DE-65AA-44EF-8164-92E44F364ADA}"/>
  <bookViews>
    <workbookView xWindow="10140" yWindow="435" windowWidth="19845" windowHeight="14505" xr2:uid="{38E300D7-70E4-4363-ADEC-07B6F0ADED1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<sst xmlns="http://schemas.openxmlformats.org/spreadsheetml/2006/main" count="35" uniqueCount="30">
  <si>
    <t>Palette</t>
  </si>
  <si>
    <t>Longueur</t>
  </si>
  <si>
    <t>Largeur</t>
  </si>
  <si>
    <t>Hauteur</t>
  </si>
  <si>
    <t>dm</t>
  </si>
  <si>
    <t xml:space="preserve">m </t>
  </si>
  <si>
    <t>mm</t>
  </si>
  <si>
    <t>Poids</t>
  </si>
  <si>
    <t>cm</t>
  </si>
  <si>
    <t>Volume</t>
  </si>
  <si>
    <r>
      <t>dm</t>
    </r>
    <r>
      <rPr>
        <vertAlign val="superscript"/>
        <sz val="12"/>
        <color theme="1"/>
        <rFont val="Century Gothic"/>
        <family val="2"/>
      </rPr>
      <t>3</t>
    </r>
  </si>
  <si>
    <r>
      <t>m</t>
    </r>
    <r>
      <rPr>
        <vertAlign val="superscript"/>
        <sz val="12"/>
        <color theme="1"/>
        <rFont val="Century Gothic"/>
        <family val="2"/>
      </rPr>
      <t>3</t>
    </r>
  </si>
  <si>
    <r>
      <t>mm</t>
    </r>
    <r>
      <rPr>
        <vertAlign val="superscript"/>
        <sz val="12"/>
        <color theme="1"/>
        <rFont val="Century Gothic"/>
        <family val="2"/>
      </rPr>
      <t>3</t>
    </r>
  </si>
  <si>
    <r>
      <t>cm</t>
    </r>
    <r>
      <rPr>
        <vertAlign val="superscript"/>
        <sz val="12"/>
        <color theme="1"/>
        <rFont val="Century Gothic"/>
        <family val="2"/>
      </rPr>
      <t>3</t>
    </r>
  </si>
  <si>
    <t>Nombre de couches</t>
  </si>
  <si>
    <t>Nombre de colis par palette</t>
  </si>
  <si>
    <t>Poids d'une palette</t>
  </si>
  <si>
    <t>Poids du chargement</t>
  </si>
  <si>
    <t>Distance à parcourir</t>
  </si>
  <si>
    <t>Vitesse moyenne du camion</t>
  </si>
  <si>
    <t>Temps nécessaire</t>
  </si>
  <si>
    <t>Heure de départ</t>
  </si>
  <si>
    <t>Heure d'arrivée</t>
  </si>
  <si>
    <t>Volume d'une palette</t>
  </si>
  <si>
    <t>Colis</t>
  </si>
  <si>
    <t>Nombre de colis sur la longueur</t>
  </si>
  <si>
    <t>Nombre de colis sur la largeur</t>
  </si>
  <si>
    <t>M</t>
  </si>
  <si>
    <t>L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</si>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</sst>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\ &quot;kg&quot;"/>
    <numFmt numFmtId="165" formatCode="0.00\ &quot;kg&quot;"/>
    <numFmt numFmtId="166" formatCode="0.00\ &quot;t&quot;"/>
    <numFmt numFmtId="167" formatCode="0.00\ &quot;km&quot;"/>
    <numFmt numFmtId="168" formatCode="0\ &quot;km/h&quot;"/>
    <numFmt numFmtId="169" formatCode="0.00\ &quot;h&quot;"/>
    <numFmt numFmtId="170" formatCode="[$-F400]h:mm:ss\ AM/PM"/>
    <numFmt numFmtId="171" formatCode="0\ &quot;dm3&quot;"/>
  </numFmts>
  <fonts count="6" x14ac:knownFonts="1">
    <font>
      <sz val="11"/>
      <color theme="1"/>
      <name val="Trebuchet MS"/>
      <family val="2"/>
      <scheme val="minor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vertAlign val="superscript"/>
      <sz val="12"/>
      <color theme="1"/>
      <name val="Century Gothic"/>
      <family val="2"/>
    </font>
    <font>
      <sz val="12"/>
      <color theme="0"/>
      <name val="Century Gothic"/>
      <family val="2"/>
    </font>
    <font>
      <sz val="14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Down">
        <fgColor theme="0"/>
        <bgColor theme="1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8" xfId="0" applyBorder="1"/>
    <xf numFmtId="0" fontId="4" fillId="3" borderId="3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5" fillId="5" borderId="32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70" fontId="4" fillId="3" borderId="22" xfId="0" applyNumberFormat="1" applyFont="1" applyFill="1" applyBorder="1" applyAlignment="1">
      <alignment horizontal="center" vertical="center"/>
    </xf>
    <xf numFmtId="170" fontId="4" fillId="3" borderId="23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1" fillId="5" borderId="6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71" fontId="1" fillId="5" borderId="1" xfId="0" applyNumberFormat="1" applyFont="1" applyFill="1" applyBorder="1" applyAlignment="1">
      <alignment horizontal="center" vertical="center"/>
    </xf>
    <xf numFmtId="171" fontId="1" fillId="5" borderId="6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6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169" fontId="1" fillId="5" borderId="1" xfId="0" applyNumberFormat="1" applyFont="1" applyFill="1" applyBorder="1" applyAlignment="1">
      <alignment horizontal="center" vertical="center"/>
    </xf>
    <xf numFmtId="169" fontId="1" fillId="5" borderId="6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1" fillId="5" borderId="10" xfId="0" applyNumberFormat="1" applyFont="1" applyFill="1" applyBorder="1" applyAlignment="1">
      <alignment horizontal="center" vertical="center"/>
    </xf>
    <xf numFmtId="166" fontId="1" fillId="5" borderId="11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horizontal="left" vertical="center"/>
    </xf>
    <xf numFmtId="167" fontId="4" fillId="3" borderId="25" xfId="0" applyNumberFormat="1" applyFont="1" applyFill="1" applyBorder="1" applyAlignment="1">
      <alignment horizontal="center" vertical="center"/>
    </xf>
    <xf numFmtId="167" fontId="4" fillId="3" borderId="26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168" fontId="4" fillId="3" borderId="28" xfId="0" applyNumberFormat="1" applyFont="1" applyFill="1" applyBorder="1" applyAlignment="1">
      <alignment horizontal="center" vertical="center"/>
    </xf>
    <xf numFmtId="168" fontId="4" fillId="3" borderId="29" xfId="0" applyNumberFormat="1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" fontId="5" fillId="5" borderId="36" xfId="0" applyNumberFormat="1" applyFont="1" applyFill="1" applyBorder="1" applyAlignment="1">
      <alignment horizontal="center" vertical="center"/>
    </xf>
    <xf numFmtId="2" fontId="5" fillId="5" borderId="15" xfId="0" applyNumberFormat="1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5" fillId="5" borderId="8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2" fontId="5" fillId="5" borderId="42" xfId="0" applyNumberFormat="1" applyFont="1" applyFill="1" applyBorder="1" applyAlignment="1">
      <alignment horizontal="center" vertical="center"/>
    </xf>
    <xf numFmtId="2" fontId="5" fillId="5" borderId="4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867642</xdr:colOff>
      <xdr:row>0</xdr:row>
      <xdr:rowOff>76200</xdr:rowOff>
    </xdr:from>
    <xdr:to>
      <xdr:col>14</xdr:col>
      <xdr:colOff>249627</xdr:colOff>
      <xdr:row>3</xdr:row>
      <xdr:rowOff>221018</xdr:rowOff>
    </xdr:to>
    <xdr:pic>
      <xdr:nvPicPr>
        <xdr:cNvPr id="5" name="Image 4" descr="Combien de palettes peut-on transporter dans un camion ?">
          <a:extLst>
            <a:ext uri="{FF2B5EF4-FFF2-40B4-BE49-F238E27FC236}">
              <a16:creationId xmlns:a16="http://schemas.microsoft.com/office/drawing/2014/main" id="{29A94062-45A5-C6E1-7BE1-6C6569D41C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2" t="23386" r="3008" b="22272"/>
        <a:stretch>
          <a:fillRect/>
        </a:stretch>
      </xdr:blipFill>
      <xdr:spPr bwMode="auto">
        <a:xfrm>
          <a:off x="10364067" y="76200"/>
          <a:ext cx="3230085" cy="1087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352425</xdr:colOff>
      <xdr:row>6</xdr:row>
      <xdr:rowOff>102602</xdr:rowOff>
    </xdr:from>
    <xdr:to>
      <xdr:col>15</xdr:col>
      <xdr:colOff>375805</xdr:colOff>
      <xdr:row>7</xdr:row>
      <xdr:rowOff>238125</xdr:rowOff>
    </xdr:to>
    <xdr:pic>
      <xdr:nvPicPr>
        <xdr:cNvPr id="7" name="Image 6" descr="Vecteur de navigation. Marqueur de navigation GPS. Distance à parcourir |  Vecteur Premium">
          <a:extLst>
            <a:ext uri="{FF2B5EF4-FFF2-40B4-BE49-F238E27FC236}">
              <a16:creationId xmlns:a16="http://schemas.microsoft.com/office/drawing/2014/main" id="{097860FA-3826-4BFD-942E-4D2D45EB35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83" b="10431"/>
        <a:stretch>
          <a:fillRect/>
        </a:stretch>
      </xdr:blipFill>
      <xdr:spPr bwMode="auto">
        <a:xfrm>
          <a:off x="13963650" y="1988552"/>
          <a:ext cx="1000125" cy="449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15</xdr:row>
      <xdr:rowOff>0</xdr:rowOff>
    </xdr:from>
    <xdr:ext cx="2882348" cy="1152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8934071-4016-47F1-8226-9DC4995B035D}"/>
                </a:ext>
              </a:extLst>
            </xdr:cNvPr>
            <xdr:cNvSpPr txBox="1"/>
          </xdr:nvSpPr>
          <xdr:spPr>
            <a:xfrm>
              <a:off x="2762250" y="4714875"/>
              <a:ext cx="2882348" cy="1152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fr-CH" sz="18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fr-CH" sz="18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CH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fr-CH" sz="18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fr-CH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fr-CH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fr-CH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fr-CH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p>
                                <m:r>
                                  <a:rPr lang="fr-CH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p>
                            </m:sSup>
                          </m:e>
                        </m:rad>
                      </m:num>
                      <m:den>
                        <m:r>
                          <a:rPr lang="fr-CH" sz="18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fr-CH" sz="18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CH" sz="18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fr-CH" sz="1800" b="0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fr-CH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fr-CH" sz="18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r>
                              <a:rPr lang="fr-CH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fr-CH" sz="18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num>
                          <m:den>
                            <m:r>
                              <a:rPr lang="fr-CH" sz="18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den>
                        </m:f>
                        <m:r>
                          <a:rPr lang="fr-CH" sz="18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fr-CH" sz="18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8934071-4016-47F1-8226-9DC4995B035D}"/>
                </a:ext>
              </a:extLst>
            </xdr:cNvPr>
            <xdr:cNvSpPr txBox="1"/>
          </xdr:nvSpPr>
          <xdr:spPr>
            <a:xfrm>
              <a:off x="2762250" y="4714875"/>
              <a:ext cx="2882348" cy="1152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fr-CH" sz="1800" b="0" i="0">
                  <a:latin typeface="Cambria Math" panose="02040503050406030204" pitchFamily="18" charset="0"/>
                </a:rPr>
                <a:t>𝑃</a:t>
              </a:r>
              <a:r>
                <a:rPr lang="fr-CH" sz="1800" i="0">
                  <a:latin typeface="Cambria Math" panose="02040503050406030204" pitchFamily="18" charset="0"/>
                </a:rPr>
                <a:t>=</a:t>
              </a:r>
              <a:r>
                <a:rPr lang="fr-CH" sz="1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</a:t>
              </a:r>
              <a:r>
                <a:rPr lang="fr-C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</a:t>
              </a:r>
              <a:r>
                <a:rPr lang="fr-CH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fr-C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𝑀^3 )</a:t>
              </a:r>
              <a:r>
                <a:rPr lang="fr-CH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fr-CH" sz="1800" b="0" i="0">
                  <a:latin typeface="Cambria Math" panose="02040503050406030204" pitchFamily="18" charset="0"/>
                </a:rPr>
                <a:t>𝑀+𝑀((𝐿−𝐻)/𝐻))</a:t>
              </a:r>
              <a:endParaRPr lang="fr-CH" sz="1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09B8-31E9-41D5-96D3-C3089B85DF8C}">
  <dimension ref="A1:P18"/>
  <sheetViews>
    <sheetView tabSelected="1" zoomScale="85" zoomScaleNormal="85" workbookViewId="0">
      <selection activeCell="K22" sqref="K22"/>
    </sheetView>
  </sheetViews>
  <sheetFormatPr baseColWidth="10" defaultRowHeight="24.95" customHeight="1" x14ac:dyDescent="0.3"/>
  <cols>
    <col min="1" max="1" width="11" style="1" customWidth="1"/>
    <col min="2" max="16" width="12.625" style="1" customWidth="1"/>
    <col min="17" max="16384" width="11" style="1"/>
  </cols>
  <sheetData>
    <row r="1" spans="1:16" ht="24.95" customHeight="1" x14ac:dyDescent="0.3">
      <c r="A1" s="18"/>
      <c r="B1" s="12" t="s">
        <v>0</v>
      </c>
      <c r="C1" s="13" t="s">
        <v>4</v>
      </c>
      <c r="D1" s="13" t="s">
        <v>5</v>
      </c>
      <c r="E1" s="13" t="s">
        <v>6</v>
      </c>
      <c r="G1" s="2" t="s">
        <v>24</v>
      </c>
      <c r="H1" s="4" t="s">
        <v>8</v>
      </c>
      <c r="J1" s="48"/>
      <c r="K1" s="49"/>
      <c r="L1" s="49"/>
      <c r="M1" s="49"/>
      <c r="N1" s="49"/>
      <c r="O1" s="49"/>
      <c r="P1" s="50"/>
    </row>
    <row r="2" spans="1:16" ht="24.95" customHeight="1" x14ac:dyDescent="0.3">
      <c r="A2" s="18"/>
      <c r="B2" s="14" t="s">
        <v>1</v>
      </c>
      <c r="C2" s="1">
        <v>12</v>
      </c>
      <c r="D2" s="17"/>
      <c r="E2" s="17"/>
      <c r="G2" s="5" t="s">
        <v>1</v>
      </c>
      <c r="H2" s="6">
        <v>55</v>
      </c>
      <c r="J2" s="51"/>
      <c r="K2" s="21"/>
      <c r="L2" s="21"/>
      <c r="M2" s="21"/>
      <c r="N2" s="21"/>
      <c r="O2" s="21"/>
      <c r="P2" s="52"/>
    </row>
    <row r="3" spans="1:16" ht="24.95" customHeight="1" x14ac:dyDescent="0.3">
      <c r="A3" s="18"/>
      <c r="B3" s="14" t="s">
        <v>2</v>
      </c>
      <c r="C3" s="1">
        <v>8</v>
      </c>
      <c r="D3" s="17"/>
      <c r="E3" s="17"/>
      <c r="G3" s="5" t="s">
        <v>2</v>
      </c>
      <c r="H3" s="6">
        <v>25</v>
      </c>
      <c r="J3" s="51"/>
      <c r="K3" s="21"/>
      <c r="L3" s="21"/>
      <c r="M3" s="21"/>
      <c r="N3" s="21"/>
      <c r="O3" s="21"/>
      <c r="P3" s="52"/>
    </row>
    <row r="4" spans="1:16" ht="24.95" customHeight="1" x14ac:dyDescent="0.3">
      <c r="A4" s="18"/>
      <c r="B4" s="14" t="s">
        <v>3</v>
      </c>
      <c r="C4" s="1">
        <v>1.5</v>
      </c>
      <c r="D4" s="17"/>
      <c r="E4" s="17"/>
      <c r="G4" s="5" t="s">
        <v>3</v>
      </c>
      <c r="H4" s="6">
        <v>80</v>
      </c>
      <c r="J4" s="53"/>
      <c r="K4" s="23"/>
      <c r="L4" s="23"/>
      <c r="M4" s="23"/>
      <c r="N4" s="23"/>
      <c r="O4" s="23"/>
      <c r="P4" s="54"/>
    </row>
    <row r="5" spans="1:16" ht="24.95" customHeight="1" thickBot="1" x14ac:dyDescent="0.35">
      <c r="A5" s="18"/>
      <c r="B5" s="14" t="s">
        <v>7</v>
      </c>
      <c r="C5" s="39">
        <v>25</v>
      </c>
      <c r="D5" s="39"/>
      <c r="E5" s="39"/>
      <c r="G5" s="7" t="s">
        <v>7</v>
      </c>
      <c r="H5" s="8">
        <v>12.75</v>
      </c>
      <c r="J5" s="31" t="s">
        <v>16</v>
      </c>
      <c r="K5" s="32"/>
      <c r="L5" s="32"/>
      <c r="M5" s="32"/>
      <c r="N5" s="32"/>
      <c r="O5" s="33"/>
      <c r="P5" s="34"/>
    </row>
    <row r="6" spans="1:16" ht="24.95" customHeight="1" thickBot="1" x14ac:dyDescent="0.35">
      <c r="J6" s="25" t="s">
        <v>17</v>
      </c>
      <c r="K6" s="26"/>
      <c r="L6" s="26"/>
      <c r="M6" s="26"/>
      <c r="N6" s="26"/>
      <c r="O6" s="61"/>
      <c r="P6" s="62"/>
    </row>
    <row r="7" spans="1:16" ht="24.95" customHeight="1" x14ac:dyDescent="0.3">
      <c r="B7" s="15"/>
      <c r="C7" s="3" t="s">
        <v>10</v>
      </c>
      <c r="D7" s="3" t="s">
        <v>11</v>
      </c>
      <c r="E7" s="4" t="s">
        <v>12</v>
      </c>
      <c r="G7" s="11"/>
      <c r="H7" s="4" t="s">
        <v>13</v>
      </c>
      <c r="J7" s="21"/>
      <c r="K7" s="21"/>
      <c r="L7" s="21"/>
      <c r="M7" s="21"/>
      <c r="N7" s="21"/>
      <c r="O7" s="21"/>
      <c r="P7" s="21"/>
    </row>
    <row r="8" spans="1:16" ht="24.95" customHeight="1" thickBot="1" x14ac:dyDescent="0.35">
      <c r="B8" s="16" t="s">
        <v>9</v>
      </c>
      <c r="C8" s="9"/>
      <c r="D8" s="9"/>
      <c r="E8" s="10"/>
      <c r="G8" s="7" t="s">
        <v>9</v>
      </c>
      <c r="H8" s="10"/>
      <c r="J8" s="21"/>
      <c r="K8" s="21"/>
      <c r="L8" s="21"/>
      <c r="M8" s="21"/>
      <c r="N8" s="21"/>
      <c r="O8" s="21"/>
      <c r="P8" s="21"/>
    </row>
    <row r="9" spans="1:16" ht="24.95" customHeight="1" thickBot="1" x14ac:dyDescent="0.35">
      <c r="J9" s="63" t="s">
        <v>18</v>
      </c>
      <c r="K9" s="64"/>
      <c r="L9" s="64"/>
      <c r="M9" s="64"/>
      <c r="N9" s="64"/>
      <c r="O9" s="65">
        <v>283.25</v>
      </c>
      <c r="P9" s="66"/>
    </row>
    <row r="10" spans="1:16" ht="24.95" customHeight="1" x14ac:dyDescent="0.3">
      <c r="A10" s="19"/>
      <c r="B10" s="46" t="s">
        <v>25</v>
      </c>
      <c r="C10" s="47"/>
      <c r="D10" s="47"/>
      <c r="E10" s="47"/>
      <c r="F10" s="47"/>
      <c r="G10" s="42"/>
      <c r="H10" s="43"/>
      <c r="J10" s="67" t="s">
        <v>19</v>
      </c>
      <c r="K10" s="68"/>
      <c r="L10" s="68"/>
      <c r="M10" s="68"/>
      <c r="N10" s="68"/>
      <c r="O10" s="69">
        <v>65</v>
      </c>
      <c r="P10" s="70"/>
    </row>
    <row r="11" spans="1:16" ht="24.95" customHeight="1" x14ac:dyDescent="0.3">
      <c r="A11" s="19"/>
      <c r="B11" s="31" t="s">
        <v>26</v>
      </c>
      <c r="C11" s="32"/>
      <c r="D11" s="32"/>
      <c r="E11" s="32"/>
      <c r="F11" s="32"/>
      <c r="G11" s="44"/>
      <c r="H11" s="45"/>
      <c r="J11" s="31" t="s">
        <v>20</v>
      </c>
      <c r="K11" s="32"/>
      <c r="L11" s="32"/>
      <c r="M11" s="32"/>
      <c r="N11" s="32"/>
      <c r="O11" s="57"/>
      <c r="P11" s="58"/>
    </row>
    <row r="12" spans="1:16" ht="24.95" customHeight="1" x14ac:dyDescent="0.3">
      <c r="A12" s="19"/>
      <c r="B12" s="31" t="s">
        <v>14</v>
      </c>
      <c r="C12" s="32"/>
      <c r="D12" s="32"/>
      <c r="E12" s="32"/>
      <c r="F12" s="32"/>
      <c r="G12" s="44"/>
      <c r="H12" s="45"/>
      <c r="J12" s="31"/>
      <c r="K12" s="32"/>
      <c r="L12" s="32"/>
      <c r="M12" s="32"/>
      <c r="N12" s="32"/>
      <c r="O12" s="59"/>
      <c r="P12" s="60"/>
    </row>
    <row r="13" spans="1:16" ht="24.95" customHeight="1" x14ac:dyDescent="0.3">
      <c r="A13" s="19"/>
      <c r="B13" s="31" t="s">
        <v>23</v>
      </c>
      <c r="C13" s="32"/>
      <c r="D13" s="32"/>
      <c r="E13" s="32"/>
      <c r="F13" s="32"/>
      <c r="G13" s="40"/>
      <c r="H13" s="41"/>
      <c r="J13" s="55" t="s">
        <v>21</v>
      </c>
      <c r="K13" s="56"/>
      <c r="L13" s="56"/>
      <c r="M13" s="56"/>
      <c r="N13" s="56"/>
      <c r="O13" s="27">
        <v>0.5625</v>
      </c>
      <c r="P13" s="28"/>
    </row>
    <row r="14" spans="1:16" ht="24.95" customHeight="1" thickBot="1" x14ac:dyDescent="0.35">
      <c r="A14" s="19"/>
      <c r="B14" s="35" t="s">
        <v>15</v>
      </c>
      <c r="C14" s="36"/>
      <c r="D14" s="36"/>
      <c r="E14" s="36"/>
      <c r="F14" s="36"/>
      <c r="G14" s="37" t="str">
        <f>IF(COUNTA(G10:H12)=3,ROUND(G10,0)*ROUND(G11,0)*ROUND(G12,0),"")</f>
        <v/>
      </c>
      <c r="H14" s="38"/>
      <c r="J14" s="25" t="s">
        <v>22</v>
      </c>
      <c r="K14" s="26"/>
      <c r="L14" s="26"/>
      <c r="M14" s="26"/>
      <c r="N14" s="26"/>
      <c r="O14" s="29"/>
      <c r="P14" s="30"/>
    </row>
    <row r="15" spans="1:16" ht="24.95" customHeight="1" thickBot="1" x14ac:dyDescent="0.35"/>
    <row r="16" spans="1:16" ht="30" customHeight="1" x14ac:dyDescent="0.3">
      <c r="B16" s="71" t="s">
        <v>27</v>
      </c>
      <c r="C16" s="72">
        <v>33</v>
      </c>
      <c r="D16" s="49"/>
      <c r="E16" s="49"/>
      <c r="F16" s="73"/>
      <c r="G16" s="74"/>
      <c r="H16" s="75"/>
    </row>
    <row r="17" spans="2:8" ht="30" customHeight="1" x14ac:dyDescent="0.3">
      <c r="B17" s="76" t="s">
        <v>28</v>
      </c>
      <c r="C17" s="20">
        <v>70</v>
      </c>
      <c r="D17" s="77"/>
      <c r="E17" s="77"/>
      <c r="F17" s="22"/>
      <c r="G17" s="24"/>
      <c r="H17" s="78"/>
    </row>
    <row r="18" spans="2:8" ht="30" customHeight="1" thickBot="1" x14ac:dyDescent="0.35">
      <c r="B18" s="79" t="s">
        <v>29</v>
      </c>
      <c r="C18" s="80">
        <v>27</v>
      </c>
      <c r="D18" s="81"/>
      <c r="E18" s="81"/>
      <c r="F18" s="82"/>
      <c r="G18" s="83"/>
      <c r="H18" s="84"/>
    </row>
  </sheetData>
  <mergeCells count="30">
    <mergeCell ref="J1:P4"/>
    <mergeCell ref="J7:P8"/>
    <mergeCell ref="J13:N13"/>
    <mergeCell ref="J11:N12"/>
    <mergeCell ref="O11:P11"/>
    <mergeCell ref="O12:P12"/>
    <mergeCell ref="O6:P6"/>
    <mergeCell ref="J9:N9"/>
    <mergeCell ref="O9:P9"/>
    <mergeCell ref="J10:N10"/>
    <mergeCell ref="O10:P10"/>
    <mergeCell ref="J5:N5"/>
    <mergeCell ref="O5:P5"/>
    <mergeCell ref="J6:N6"/>
    <mergeCell ref="B14:F14"/>
    <mergeCell ref="G14:H14"/>
    <mergeCell ref="C5:E5"/>
    <mergeCell ref="G13:H13"/>
    <mergeCell ref="G10:H10"/>
    <mergeCell ref="G11:H11"/>
    <mergeCell ref="G12:H12"/>
    <mergeCell ref="B10:F10"/>
    <mergeCell ref="B11:F11"/>
    <mergeCell ref="B12:F12"/>
    <mergeCell ref="B13:F13"/>
    <mergeCell ref="D16:F18"/>
    <mergeCell ref="G16:H18"/>
    <mergeCell ref="J14:N14"/>
    <mergeCell ref="O13:P13"/>
    <mergeCell ref="O14:P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Phuoc</dc:creator>
  <cp:lastModifiedBy>VAN Phuoc</cp:lastModifiedBy>
  <dcterms:created xsi:type="dcterms:W3CDTF">2026-02-21T13:58:08Z</dcterms:created>
  <dcterms:modified xsi:type="dcterms:W3CDTF">2026-02-22T13:48:02Z</dcterms:modified>
</cp:coreProperties>
</file>