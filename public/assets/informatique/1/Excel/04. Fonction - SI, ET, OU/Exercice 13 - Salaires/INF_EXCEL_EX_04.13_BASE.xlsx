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4. Fonction - SI, ET, OU/Exercice 13 - Salaires/"/>
    </mc:Choice>
  </mc:AlternateContent>
  <xr:revisionPtr revIDLastSave="34" documentId="13_ncr:1_{4F9548FE-89EF-45D6-B5E9-07FD324A8F25}" xr6:coauthVersionLast="47" xr6:coauthVersionMax="47" xr10:uidLastSave="{A7BC8AD4-8CC2-41B4-A8D6-EF5E38899D48}"/>
  <bookViews>
    <workbookView xWindow="3120" yWindow="1005" windowWidth="21420" windowHeight="15195" xr2:uid="{00000000-000D-0000-FFFF-FFFF00000000}"/>
  </bookViews>
  <sheets>
    <sheet name="Exercice 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3" i="1"/>
  <c r="B4" i="1"/>
  <c r="C1" i="1"/>
  <c r="B9" i="1" l="1"/>
  <c r="G4" i="1"/>
</calcChain>
</file>

<file path=xl/sharedStrings.xml><?xml version="1.0" encoding="utf-8"?>
<sst xmlns="http://schemas.openxmlformats.org/spreadsheetml/2006/main" count="37" uniqueCount="36">
  <si>
    <t>Salaire brut</t>
  </si>
  <si>
    <t>Déductions</t>
  </si>
  <si>
    <t>AVS/AI/APG</t>
  </si>
  <si>
    <t>AC</t>
  </si>
  <si>
    <t>Total des déductions</t>
  </si>
  <si>
    <t>Salaire net</t>
  </si>
  <si>
    <t>Collaborateurs</t>
  </si>
  <si>
    <t>Fonctions</t>
  </si>
  <si>
    <t>Cathy Constantin</t>
  </si>
  <si>
    <t>Assistante administratif</t>
  </si>
  <si>
    <t>Ingénieur</t>
  </si>
  <si>
    <t>Emilie Canal</t>
  </si>
  <si>
    <t>Norbert Mullon</t>
  </si>
  <si>
    <t>Designer</t>
  </si>
  <si>
    <t>Directeur</t>
  </si>
  <si>
    <t>Comptable</t>
  </si>
  <si>
    <t>Luc Kauffman</t>
  </si>
  <si>
    <t>Technicienne</t>
  </si>
  <si>
    <t>Béatrice Legros</t>
  </si>
  <si>
    <t>Agente commerciale</t>
  </si>
  <si>
    <t>Evelyne Sicre</t>
  </si>
  <si>
    <t>Joël Piltz</t>
  </si>
  <si>
    <t>Est-ce que Mme Cathy et Mme Evelyne gagne le même salaire ?</t>
  </si>
  <si>
    <t>Montant</t>
  </si>
  <si>
    <t>Nombre</t>
  </si>
  <si>
    <t>CAF</t>
  </si>
  <si>
    <t>LPP</t>
  </si>
  <si>
    <t>ANP</t>
  </si>
  <si>
    <t>IJM</t>
  </si>
  <si>
    <t>Fonction SI</t>
  </si>
  <si>
    <t>Fonction SOMME et MOYENNE</t>
  </si>
  <si>
    <t>Quel est la moyenne des salaires bruts ?</t>
  </si>
  <si>
    <t>Quel est le montant total des salaires bruts ?</t>
  </si>
  <si>
    <t>Est-ce que vous gagnez moins que Mme. Evelyne ?</t>
  </si>
  <si>
    <t>Quel est votre salaire annuel net ?</t>
  </si>
  <si>
    <t>Est-ce que le salaire de M. Norbert et Mme Emilie ensemble est plus grand que celui du directeur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</si>
</sst>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CHF&quot;\ * #,##0.00_ ;_ &quot;CHF&quot;\ * \-#,##0.00_ ;_ &quot;CHF&quot;\ * &quot;-&quot;??_ ;_ @_ "/>
    <numFmt numFmtId="165" formatCode="&quot;CHF&quot;\ #,##0.00"/>
    <numFmt numFmtId="166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ck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auto="1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ck">
        <color auto="1"/>
      </bottom>
      <diagonal/>
    </border>
    <border>
      <left/>
      <right style="thick">
        <color theme="0"/>
      </right>
      <top style="thick">
        <color theme="0"/>
      </top>
      <bottom style="thick">
        <color auto="1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3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6" fontId="2" fillId="0" borderId="3" xfId="1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2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6" fontId="2" fillId="0" borderId="5" xfId="1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66" fontId="2" fillId="0" borderId="6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5" borderId="13" xfId="0" applyNumberFormat="1" applyFont="1" applyFill="1" applyBorder="1" applyAlignment="1">
      <alignment horizontal="center" vertical="center"/>
    </xf>
    <xf numFmtId="164" fontId="2" fillId="5" borderId="14" xfId="0" applyNumberFormat="1" applyFont="1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164" fontId="2" fillId="5" borderId="15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4" zoomScaleNormal="100" workbookViewId="0">
      <selection activeCell="C10" sqref="C10"/>
    </sheetView>
  </sheetViews>
  <sheetFormatPr baseColWidth="10" defaultColWidth="9.140625" defaultRowHeight="24.95" customHeight="1" x14ac:dyDescent="0.25"/>
  <cols>
    <col min="1" max="1" width="30.7109375" style="5" customWidth="1"/>
    <col min="2" max="2" width="15.7109375" style="5" customWidth="1"/>
    <col min="3" max="3" width="16.42578125" style="5" bestFit="1" customWidth="1"/>
    <col min="4" max="4" width="9.140625" style="5"/>
    <col min="5" max="5" width="20.7109375" style="5" customWidth="1"/>
    <col min="6" max="6" width="28.140625" style="5" customWidth="1"/>
    <col min="7" max="7" width="20.7109375" style="5" customWidth="1"/>
    <col min="8" max="16384" width="9.140625" style="5"/>
  </cols>
  <sheetData>
    <row r="1" spans="1:7" ht="24.95" customHeight="1" thickTop="1" thickBot="1" x14ac:dyDescent="0.3">
      <c r="A1" s="34" t="s">
        <v>0</v>
      </c>
      <c r="B1" s="34"/>
      <c r="C1" s="1">
        <f>4500</f>
        <v>4500</v>
      </c>
      <c r="D1" s="2"/>
      <c r="E1" s="3" t="s">
        <v>6</v>
      </c>
      <c r="F1" s="4" t="s">
        <v>7</v>
      </c>
      <c r="G1" s="4" t="s">
        <v>0</v>
      </c>
    </row>
    <row r="2" spans="1:7" ht="24.95" customHeight="1" thickTop="1" thickBot="1" x14ac:dyDescent="0.3">
      <c r="A2" s="6" t="s">
        <v>1</v>
      </c>
      <c r="B2" s="7" t="s">
        <v>24</v>
      </c>
      <c r="C2" s="8" t="s">
        <v>23</v>
      </c>
      <c r="D2" s="2"/>
      <c r="E2" s="9" t="s">
        <v>8</v>
      </c>
      <c r="F2" s="10" t="s">
        <v>9</v>
      </c>
      <c r="G2" s="11">
        <v>4260</v>
      </c>
    </row>
    <row r="3" spans="1:7" ht="24.95" customHeight="1" thickTop="1" thickBot="1" x14ac:dyDescent="0.3">
      <c r="A3" s="12" t="s">
        <v>2</v>
      </c>
      <c r="B3" s="13">
        <f>0.05275</f>
        <v>5.2749999999999998E-2</v>
      </c>
      <c r="C3" s="39"/>
      <c r="D3" s="2"/>
      <c r="E3" s="14" t="s">
        <v>12</v>
      </c>
      <c r="F3" s="15" t="s">
        <v>10</v>
      </c>
      <c r="G3" s="16">
        <v>9145</v>
      </c>
    </row>
    <row r="4" spans="1:7" ht="24.95" customHeight="1" thickTop="1" thickBot="1" x14ac:dyDescent="0.3">
      <c r="A4" s="17" t="s">
        <v>3</v>
      </c>
      <c r="B4" s="18">
        <f>1.1%</f>
        <v>1.1000000000000001E-2</v>
      </c>
      <c r="C4" s="40"/>
      <c r="D4" s="2"/>
      <c r="E4" s="14" t="s">
        <v>11</v>
      </c>
      <c r="F4" s="15" t="s">
        <v>13</v>
      </c>
      <c r="G4" s="16">
        <f>8740</f>
        <v>8740</v>
      </c>
    </row>
    <row r="5" spans="1:7" ht="24.95" customHeight="1" thickTop="1" thickBot="1" x14ac:dyDescent="0.3">
      <c r="A5" s="19" t="s">
        <v>28</v>
      </c>
      <c r="B5" s="18">
        <v>3.7399999999999998E-3</v>
      </c>
      <c r="C5" s="40"/>
      <c r="D5" s="2"/>
      <c r="E5" s="14" t="s">
        <v>18</v>
      </c>
      <c r="F5" s="15" t="s">
        <v>17</v>
      </c>
      <c r="G5" s="16">
        <v>6550</v>
      </c>
    </row>
    <row r="6" spans="1:7" ht="24.95" customHeight="1" thickTop="1" thickBot="1" x14ac:dyDescent="0.3">
      <c r="A6" s="19" t="s">
        <v>27</v>
      </c>
      <c r="B6" s="18">
        <v>2.7499999999999998E-3</v>
      </c>
      <c r="C6" s="40"/>
      <c r="D6" s="2"/>
      <c r="E6" s="14" t="s">
        <v>20</v>
      </c>
      <c r="F6" s="15" t="s">
        <v>19</v>
      </c>
      <c r="G6" s="16">
        <v>4260</v>
      </c>
    </row>
    <row r="7" spans="1:7" ht="24.95" customHeight="1" thickTop="1" thickBot="1" x14ac:dyDescent="0.3">
      <c r="A7" s="19" t="s">
        <v>26</v>
      </c>
      <c r="B7" s="18">
        <v>0.01</v>
      </c>
      <c r="C7" s="40"/>
      <c r="D7" s="2"/>
      <c r="E7" s="14" t="s">
        <v>16</v>
      </c>
      <c r="F7" s="15" t="s">
        <v>14</v>
      </c>
      <c r="G7" s="16">
        <v>16880</v>
      </c>
    </row>
    <row r="8" spans="1:7" ht="24.95" customHeight="1" thickTop="1" x14ac:dyDescent="0.25">
      <c r="A8" s="20" t="s">
        <v>25</v>
      </c>
      <c r="B8" s="21">
        <f>0.003</f>
        <v>3.0000000000000001E-3</v>
      </c>
      <c r="C8" s="41"/>
      <c r="D8" s="2"/>
      <c r="E8" s="22" t="s">
        <v>21</v>
      </c>
      <c r="F8" s="23" t="s">
        <v>15</v>
      </c>
      <c r="G8" s="24">
        <v>4970</v>
      </c>
    </row>
    <row r="9" spans="1:7" ht="24.95" customHeight="1" thickBot="1" x14ac:dyDescent="0.3">
      <c r="A9" s="25" t="s">
        <v>4</v>
      </c>
      <c r="B9" s="26">
        <f>SUM(B3:B8)</f>
        <v>8.3239999999999995E-2</v>
      </c>
      <c r="C9" s="42"/>
      <c r="D9" s="2"/>
      <c r="E9" s="2"/>
      <c r="F9" s="2"/>
      <c r="G9" s="2"/>
    </row>
    <row r="10" spans="1:7" ht="24.95" customHeight="1" thickTop="1" x14ac:dyDescent="0.25">
      <c r="A10" s="33" t="s">
        <v>5</v>
      </c>
      <c r="B10" s="33"/>
      <c r="C10" s="43"/>
      <c r="D10" s="2"/>
      <c r="E10" s="2"/>
      <c r="F10" s="2"/>
      <c r="G10" s="2"/>
    </row>
    <row r="11" spans="1:7" ht="24.95" customHeight="1" x14ac:dyDescent="0.25">
      <c r="A11" s="2"/>
      <c r="B11" s="2"/>
      <c r="C11" s="27"/>
      <c r="D11" s="2"/>
      <c r="E11" s="2"/>
      <c r="F11" s="2"/>
      <c r="G11" s="2"/>
    </row>
    <row r="12" spans="1:7" ht="24.95" customHeight="1" thickBot="1" x14ac:dyDescent="0.3">
      <c r="A12" s="35" t="s">
        <v>30</v>
      </c>
      <c r="B12" s="35"/>
      <c r="C12" s="35"/>
      <c r="D12" s="35"/>
      <c r="E12" s="35"/>
      <c r="F12" s="35"/>
      <c r="G12" s="35"/>
    </row>
    <row r="13" spans="1:7" ht="24.95" customHeight="1" thickTop="1" x14ac:dyDescent="0.25">
      <c r="A13" s="37" t="s">
        <v>32</v>
      </c>
      <c r="B13" s="37"/>
      <c r="C13" s="37"/>
      <c r="D13" s="37"/>
      <c r="E13" s="37"/>
      <c r="F13" s="37"/>
      <c r="G13" s="31"/>
    </row>
    <row r="14" spans="1:7" ht="24.95" customHeight="1" x14ac:dyDescent="0.25">
      <c r="A14" s="38" t="s">
        <v>31</v>
      </c>
      <c r="B14" s="38"/>
      <c r="C14" s="38"/>
      <c r="D14" s="38"/>
      <c r="E14" s="38"/>
      <c r="F14" s="38"/>
      <c r="G14" s="32"/>
    </row>
    <row r="15" spans="1:7" ht="24.95" customHeight="1" x14ac:dyDescent="0.25">
      <c r="A15" s="38" t="s">
        <v>34</v>
      </c>
      <c r="B15" s="38"/>
      <c r="C15" s="38"/>
      <c r="D15" s="38"/>
      <c r="E15" s="38"/>
      <c r="F15" s="38"/>
      <c r="G15" s="32"/>
    </row>
    <row r="16" spans="1:7" ht="24.95" customHeight="1" x14ac:dyDescent="0.25">
      <c r="A16" s="28"/>
      <c r="B16" s="28"/>
      <c r="C16" s="28"/>
      <c r="D16" s="28"/>
      <c r="E16" s="28"/>
      <c r="F16" s="28"/>
      <c r="G16" s="29"/>
    </row>
    <row r="17" spans="1:7" ht="24.95" customHeight="1" thickBot="1" x14ac:dyDescent="0.3">
      <c r="A17" s="35" t="s">
        <v>29</v>
      </c>
      <c r="B17" s="35"/>
      <c r="C17" s="35"/>
      <c r="D17" s="35"/>
      <c r="E17" s="35"/>
      <c r="F17" s="35"/>
      <c r="G17" s="35"/>
    </row>
    <row r="18" spans="1:7" ht="24.95" customHeight="1" thickTop="1" x14ac:dyDescent="0.25">
      <c r="A18" s="36" t="s">
        <v>22</v>
      </c>
      <c r="B18" s="36"/>
      <c r="C18" s="36"/>
      <c r="D18" s="36"/>
      <c r="E18" s="36"/>
      <c r="F18" s="36"/>
      <c r="G18" s="30"/>
    </row>
    <row r="19" spans="1:7" ht="24.95" customHeight="1" x14ac:dyDescent="0.25">
      <c r="A19" s="36" t="s">
        <v>33</v>
      </c>
      <c r="B19" s="36"/>
      <c r="C19" s="36"/>
      <c r="D19" s="36"/>
      <c r="E19" s="36"/>
      <c r="F19" s="36"/>
      <c r="G19" s="30"/>
    </row>
    <row r="20" spans="1:7" ht="24.95" customHeight="1" x14ac:dyDescent="0.25">
      <c r="A20" s="36" t="s">
        <v>35</v>
      </c>
      <c r="B20" s="36"/>
      <c r="C20" s="36"/>
      <c r="D20" s="36"/>
      <c r="E20" s="36"/>
      <c r="F20" s="36"/>
      <c r="G20" s="30"/>
    </row>
  </sheetData>
  <mergeCells count="10">
    <mergeCell ref="A18:F18"/>
    <mergeCell ref="A19:F19"/>
    <mergeCell ref="A20:F20"/>
    <mergeCell ref="A10:B10"/>
    <mergeCell ref="A1:B1"/>
    <mergeCell ref="A17:G17"/>
    <mergeCell ref="A12:G12"/>
    <mergeCell ref="A13:F13"/>
    <mergeCell ref="A14:F14"/>
    <mergeCell ref="A15:F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Purin</dc:creator>
  <cp:lastModifiedBy>VAN Phuoc</cp:lastModifiedBy>
  <cp:lastPrinted>2024-12-03T08:00:18Z</cp:lastPrinted>
  <dcterms:created xsi:type="dcterms:W3CDTF">2015-06-05T18:19:34Z</dcterms:created>
  <dcterms:modified xsi:type="dcterms:W3CDTF">2025-04-28T19:58:54Z</dcterms:modified>
</cp:coreProperties>
</file>