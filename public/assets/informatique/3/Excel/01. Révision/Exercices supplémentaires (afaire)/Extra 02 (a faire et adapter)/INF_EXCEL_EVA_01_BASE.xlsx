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0000000 - 2021-2022- Support de cours\1re année\1re, ICA-I\1re, I - finaux\Sem. 1\"/>
    </mc:Choice>
  </mc:AlternateContent>
  <xr:revisionPtr revIDLastSave="0" documentId="13_ncr:1_{58C4EE3F-1B4E-49B5-AD00-720DF109BB97}" xr6:coauthVersionLast="36" xr6:coauthVersionMax="36" xr10:uidLastSave="{00000000-0000-0000-0000-000000000000}"/>
  <bookViews>
    <workbookView xWindow="480" yWindow="150" windowWidth="19440" windowHeight="8760" xr2:uid="{00000000-000D-0000-FFFF-FFFF00000000}"/>
  </bookViews>
  <sheets>
    <sheet name="Mise en page, ex. Porcelaines" sheetId="2" r:id="rId1"/>
  </sheets>
  <definedNames>
    <definedName name="_xlnm.Print_Area" localSheetId="0">'Mise en page, ex. Porcelaines'!$B$1:$I$25</definedName>
  </definedNames>
  <calcPr calcId="191029"/>
</workbook>
</file>

<file path=xl/calcChain.xml><?xml version="1.0" encoding="utf-8"?>
<calcChain xmlns="http://schemas.openxmlformats.org/spreadsheetml/2006/main">
  <c r="I47" i="2" l="1"/>
  <c r="I42" i="2" l="1"/>
  <c r="I38" i="2"/>
  <c r="H18" i="2" l="1"/>
  <c r="H19" i="2"/>
  <c r="H20" i="2"/>
  <c r="H21" i="2"/>
  <c r="I21" i="2" s="1"/>
  <c r="H17" i="2"/>
  <c r="H15" i="2"/>
  <c r="H16" i="2"/>
  <c r="H13" i="2"/>
  <c r="H14" i="2"/>
  <c r="H12" i="2"/>
  <c r="H8" i="2"/>
  <c r="H9" i="2"/>
  <c r="I9" i="2" s="1"/>
  <c r="H10" i="2"/>
  <c r="H11" i="2"/>
  <c r="H7" i="2"/>
  <c r="E18" i="2"/>
  <c r="I18" i="2" s="1"/>
  <c r="E19" i="2"/>
  <c r="E20" i="2"/>
  <c r="E21" i="2"/>
  <c r="E17" i="2"/>
  <c r="E13" i="2"/>
  <c r="E14" i="2"/>
  <c r="E15" i="2"/>
  <c r="E16" i="2"/>
  <c r="I16" i="2" s="1"/>
  <c r="E12" i="2"/>
  <c r="E8" i="2"/>
  <c r="I8" i="2" s="1"/>
  <c r="E9" i="2"/>
  <c r="E10" i="2"/>
  <c r="E25" i="2" s="1"/>
  <c r="E11" i="2"/>
  <c r="E7" i="2"/>
  <c r="I7" i="2" s="1"/>
  <c r="I19" i="2"/>
  <c r="I11" i="2"/>
  <c r="G25" i="2"/>
  <c r="D25" i="2"/>
  <c r="G23" i="2"/>
  <c r="D23" i="2"/>
  <c r="I15" i="2"/>
  <c r="I20" i="2" l="1"/>
  <c r="I17" i="2"/>
  <c r="I10" i="2"/>
  <c r="I33" i="2" s="1"/>
  <c r="I14" i="2"/>
  <c r="I13" i="2"/>
  <c r="I12" i="2"/>
  <c r="H25" i="2"/>
  <c r="E23" i="2"/>
  <c r="H23" i="2"/>
  <c r="I23" i="2" l="1"/>
</calcChain>
</file>

<file path=xl/sharedStrings.xml><?xml version="1.0" encoding="utf-8"?>
<sst xmlns="http://schemas.openxmlformats.org/spreadsheetml/2006/main" count="34" uniqueCount="27">
  <si>
    <t>Porcelaines Clotilde</t>
  </si>
  <si>
    <t>N° d'articles</t>
  </si>
  <si>
    <t>Pièces
vendues</t>
  </si>
  <si>
    <t>Montant encaissé</t>
  </si>
  <si>
    <t>Total deux mois</t>
  </si>
  <si>
    <t>Potiches</t>
  </si>
  <si>
    <t>Galerie de Givisiez</t>
  </si>
  <si>
    <t>Plats et sous-tasses</t>
  </si>
  <si>
    <t>Vases</t>
  </si>
  <si>
    <t>Total Général</t>
  </si>
  <si>
    <t>Total 
Postiches et Vases</t>
  </si>
  <si>
    <t>Prix unitaires indicatifs</t>
  </si>
  <si>
    <t>Postiches</t>
  </si>
  <si>
    <t>Plats
 sous-tasses</t>
  </si>
  <si>
    <t>No article</t>
  </si>
  <si>
    <t>Fr</t>
  </si>
  <si>
    <t>Mois de juin 20**</t>
  </si>
  <si>
    <t>Mois de juillet 20**</t>
  </si>
  <si>
    <t>Rapport établi le (date du jour automatique)</t>
  </si>
  <si>
    <t>Répondre aux questions suivantes :</t>
  </si>
  <si>
    <t>a)  Quel est le montant maximal des ventes pour les deux mois ?</t>
  </si>
  <si>
    <t>b)  Quel est le nombre total d'articles en vente dans ce magasin ?</t>
  </si>
  <si>
    <t xml:space="preserve">      (format : comptabilité avec deux décimales) </t>
  </si>
  <si>
    <r>
      <t xml:space="preserve">     (format : nombre entier suivi du mot </t>
    </r>
    <r>
      <rPr>
        <b/>
        <sz val="12"/>
        <color theme="1"/>
        <rFont val="Calibri"/>
        <family val="2"/>
        <scheme val="minor"/>
      </rPr>
      <t>articles</t>
    </r>
    <r>
      <rPr>
        <sz val="12"/>
        <color theme="1"/>
        <rFont val="Calibri"/>
        <family val="2"/>
        <scheme val="minor"/>
      </rPr>
      <t>)</t>
    </r>
  </si>
  <si>
    <t xml:space="preserve">c)  Quel est le nombre minimum de potiches vendus durant le mois de juillet ?     </t>
  </si>
  <si>
    <r>
      <t xml:space="preserve">     (format : nombre entier suivi du mot </t>
    </r>
    <r>
      <rPr>
        <b/>
        <sz val="12"/>
        <color theme="1"/>
        <rFont val="Calibri"/>
        <family val="2"/>
        <scheme val="minor"/>
      </rPr>
      <t>pièces</t>
    </r>
    <r>
      <rPr>
        <sz val="12"/>
        <color theme="1"/>
        <rFont val="Calibri"/>
        <family val="2"/>
        <scheme val="minor"/>
      </rPr>
      <t>)</t>
    </r>
  </si>
  <si>
    <t>d)  Quel est le prix moyen d'un vase ? (colone R, montant à formater à deux décimales)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</si>
</sst>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CHF&quot;\ * #,##0.00_ ;_ &quot;CHF&quot;\ * \-#,##0.00_ ;_ &quot;CHF&quot;\ * &quot;-&quot;??_ ;_ @_ "/>
    <numFmt numFmtId="43" formatCode="_ * #,##0.00_ ;_ * \-#,##0.00_ ;_ * &quot;-&quot;??_ ;_ @_ "/>
    <numFmt numFmtId="164" formatCode="&quot;Rapport établi le &quot;\ dddd\ d\ mmmm\ yyyy"/>
    <numFmt numFmtId="165" formatCode="00000"/>
    <numFmt numFmtId="166" formatCode="0\ &quot;pièces&quot;\ "/>
    <numFmt numFmtId="167" formatCode="\ \ &quot;fr.&quot;* #\ ##0.00\ \ "/>
    <numFmt numFmtId="168" formatCode="0.00\ \ %\ "/>
    <numFmt numFmtId="169" formatCode="0\ &quot;articles&quot;"/>
    <numFmt numFmtId="170" formatCode="_ [$CHF]\ * #,##0.00_ ;_ [$CHF]\ * \-#,##0.00_ ;_ [$CHF]\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gradientFill degree="135">
        <stop position="0">
          <color theme="9" tint="0.80001220740379042"/>
        </stop>
        <stop position="1">
          <color theme="9" tint="0.40000610370189521"/>
        </stop>
      </gradient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166" fontId="0" fillId="0" borderId="1" xfId="0" applyNumberFormat="1" applyBorder="1"/>
    <xf numFmtId="165" fontId="0" fillId="2" borderId="5" xfId="0" applyNumberFormat="1" applyFill="1" applyBorder="1" applyAlignment="1">
      <alignment horizontal="center"/>
    </xf>
    <xf numFmtId="166" fontId="0" fillId="2" borderId="6" xfId="0" applyNumberFormat="1" applyFill="1" applyBorder="1"/>
    <xf numFmtId="0" fontId="0" fillId="0" borderId="1" xfId="0" applyBorder="1"/>
    <xf numFmtId="166" fontId="5" fillId="0" borderId="1" xfId="0" applyNumberFormat="1" applyFont="1" applyBorder="1"/>
    <xf numFmtId="0" fontId="0" fillId="0" borderId="1" xfId="0" applyNumberFormat="1" applyBorder="1" applyAlignment="1">
      <alignment horizontal="center"/>
    </xf>
    <xf numFmtId="2" fontId="0" fillId="0" borderId="1" xfId="0" applyNumberFormat="1" applyBorder="1"/>
    <xf numFmtId="166" fontId="0" fillId="0" borderId="14" xfId="0" applyNumberFormat="1" applyBorder="1"/>
    <xf numFmtId="166" fontId="0" fillId="0" borderId="15" xfId="0" applyNumberFormat="1" applyBorder="1"/>
    <xf numFmtId="166" fontId="0" fillId="0" borderId="16" xfId="0" applyNumberFormat="1" applyBorder="1"/>
    <xf numFmtId="166" fontId="5" fillId="0" borderId="1" xfId="0" applyNumberFormat="1" applyFont="1" applyBorder="1" applyAlignment="1">
      <alignment vertical="center"/>
    </xf>
    <xf numFmtId="167" fontId="5" fillId="0" borderId="0" xfId="1" applyNumberFormat="1" applyFont="1" applyBorder="1" applyAlignment="1">
      <alignment vertical="center"/>
    </xf>
    <xf numFmtId="0" fontId="0" fillId="0" borderId="14" xfId="0" applyNumberFormat="1" applyBorder="1" applyAlignment="1">
      <alignment horizontal="center"/>
    </xf>
    <xf numFmtId="0" fontId="0" fillId="0" borderId="15" xfId="0" applyNumberFormat="1" applyBorder="1" applyAlignment="1">
      <alignment horizontal="center"/>
    </xf>
    <xf numFmtId="0" fontId="0" fillId="0" borderId="16" xfId="0" applyNumberFormat="1" applyBorder="1" applyAlignment="1">
      <alignment horizontal="center"/>
    </xf>
    <xf numFmtId="44" fontId="0" fillId="0" borderId="14" xfId="1" applyNumberFormat="1" applyFont="1" applyBorder="1"/>
    <xf numFmtId="44" fontId="0" fillId="2" borderId="7" xfId="1" applyNumberFormat="1" applyFont="1" applyFill="1" applyBorder="1"/>
    <xf numFmtId="44" fontId="5" fillId="0" borderId="1" xfId="1" applyNumberFormat="1" applyFont="1" applyBorder="1"/>
    <xf numFmtId="44" fontId="0" fillId="0" borderId="0" xfId="0" applyNumberFormat="1"/>
    <xf numFmtId="44" fontId="5" fillId="0" borderId="1" xfId="1" applyNumberFormat="1" applyFont="1" applyBorder="1" applyAlignment="1">
      <alignment vertical="center"/>
    </xf>
    <xf numFmtId="44" fontId="0" fillId="0" borderId="1" xfId="1" applyNumberFormat="1" applyFont="1" applyBorder="1"/>
    <xf numFmtId="44" fontId="0" fillId="2" borderId="6" xfId="0" applyNumberFormat="1" applyFill="1" applyBorder="1"/>
    <xf numFmtId="44" fontId="5" fillId="0" borderId="0" xfId="2" applyNumberFormat="1" applyFont="1" applyBorder="1"/>
    <xf numFmtId="44" fontId="0" fillId="3" borderId="1" xfId="1" applyNumberFormat="1" applyFont="1" applyFill="1" applyBorder="1"/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4" borderId="17" xfId="0" applyFill="1" applyBorder="1"/>
    <xf numFmtId="0" fontId="0" fillId="4" borderId="18" xfId="0" applyFill="1" applyBorder="1"/>
    <xf numFmtId="0" fontId="0" fillId="4" borderId="19" xfId="0" applyFill="1" applyBorder="1"/>
    <xf numFmtId="0" fontId="10" fillId="4" borderId="20" xfId="0" applyFont="1" applyFill="1" applyBorder="1"/>
    <xf numFmtId="0" fontId="0" fillId="4" borderId="0" xfId="0" applyFill="1" applyBorder="1"/>
    <xf numFmtId="0" fontId="9" fillId="4" borderId="0" xfId="0" applyFont="1" applyFill="1" applyBorder="1"/>
    <xf numFmtId="0" fontId="0" fillId="4" borderId="21" xfId="0" applyFill="1" applyBorder="1"/>
    <xf numFmtId="0" fontId="0" fillId="4" borderId="20" xfId="0" applyFill="1" applyBorder="1"/>
    <xf numFmtId="0" fontId="11" fillId="4" borderId="20" xfId="0" applyFont="1" applyFill="1" applyBorder="1"/>
    <xf numFmtId="0" fontId="11" fillId="4" borderId="0" xfId="0" applyFont="1" applyFill="1" applyBorder="1"/>
    <xf numFmtId="0" fontId="0" fillId="4" borderId="22" xfId="0" applyFill="1" applyBorder="1"/>
    <xf numFmtId="0" fontId="0" fillId="4" borderId="23" xfId="0" applyFill="1" applyBorder="1"/>
    <xf numFmtId="0" fontId="0" fillId="4" borderId="24" xfId="0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6" fontId="0" fillId="5" borderId="1" xfId="0" applyNumberFormat="1" applyFill="1" applyBorder="1"/>
    <xf numFmtId="43" fontId="0" fillId="5" borderId="1" xfId="0" applyNumberFormat="1" applyFill="1" applyBorder="1"/>
    <xf numFmtId="0" fontId="3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7" fontId="4" fillId="0" borderId="5" xfId="0" applyNumberFormat="1" applyFont="1" applyBorder="1" applyAlignment="1">
      <alignment horizontal="center"/>
    </xf>
    <xf numFmtId="17" fontId="4" fillId="0" borderId="6" xfId="0" applyNumberFormat="1" applyFont="1" applyBorder="1" applyAlignment="1">
      <alignment horizontal="center"/>
    </xf>
    <xf numFmtId="17" fontId="4" fillId="0" borderId="7" xfId="0" applyNumberFormat="1" applyFont="1" applyBorder="1" applyAlignment="1">
      <alignment horizontal="center"/>
    </xf>
    <xf numFmtId="17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8" fontId="7" fillId="2" borderId="8" xfId="2" applyNumberFormat="1" applyFont="1" applyFill="1" applyBorder="1" applyAlignment="1">
      <alignment horizontal="center" vertical="center" textRotation="180"/>
    </xf>
    <xf numFmtId="168" fontId="7" fillId="2" borderId="9" xfId="2" applyNumberFormat="1" applyFont="1" applyFill="1" applyBorder="1" applyAlignment="1">
      <alignment horizontal="center" vertical="center" textRotation="180"/>
    </xf>
    <xf numFmtId="168" fontId="7" fillId="2" borderId="10" xfId="2" applyNumberFormat="1" applyFont="1" applyFill="1" applyBorder="1" applyAlignment="1">
      <alignment horizontal="center" vertical="center" textRotation="180"/>
    </xf>
  </cellXfs>
  <cellStyles count="3">
    <cellStyle name="Monétaire" xfId="1" builtinId="4"/>
    <cellStyle name="Normal" xfId="0" builtinId="0"/>
    <cellStyle name="Pourcentage" xfId="2" builtinId="5"/>
  </cellStyles>
  <dxfs count="3">
    <dxf>
      <font>
        <b/>
        <i val="0"/>
        <color rgb="FFFF0000"/>
      </font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/>
        <i val="0"/>
        <color theme="9" tint="-0.24994659260841701"/>
      </font>
      <fill>
        <patternFill>
          <bgColor theme="7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48"/>
  <sheetViews>
    <sheetView tabSelected="1" workbookViewId="0">
      <selection activeCell="G12" sqref="G12"/>
    </sheetView>
  </sheetViews>
  <sheetFormatPr baseColWidth="10" defaultRowHeight="15" x14ac:dyDescent="0.25"/>
  <cols>
    <col min="2" max="2" width="27.5703125" customWidth="1"/>
    <col min="3" max="4" width="14.140625" customWidth="1"/>
    <col min="5" max="5" width="14.42578125" customWidth="1"/>
    <col min="6" max="6" width="9" customWidth="1"/>
    <col min="7" max="7" width="14.140625" customWidth="1"/>
    <col min="8" max="9" width="14.42578125" customWidth="1"/>
  </cols>
  <sheetData>
    <row r="1" spans="2:18" ht="47.85" customHeight="1" thickTop="1" thickBot="1" x14ac:dyDescent="0.35">
      <c r="B1" s="48" t="s">
        <v>0</v>
      </c>
      <c r="C1" s="49"/>
      <c r="D1" s="49"/>
      <c r="E1" s="49"/>
      <c r="F1" s="49"/>
      <c r="G1" s="49"/>
      <c r="H1" s="49"/>
      <c r="I1" s="50"/>
    </row>
    <row r="2" spans="2:18" ht="15.6" thickTop="1" thickBot="1" x14ac:dyDescent="0.35"/>
    <row r="3" spans="2:18" ht="20.100000000000001" customHeight="1" thickBot="1" x14ac:dyDescent="0.3">
      <c r="B3" s="63" t="s">
        <v>18</v>
      </c>
      <c r="C3" s="64"/>
      <c r="D3" s="64"/>
      <c r="E3" s="64"/>
      <c r="F3" s="64"/>
      <c r="G3" s="64"/>
      <c r="H3" s="64"/>
      <c r="I3" s="65"/>
    </row>
    <row r="4" spans="2:18" ht="21.6" thickBot="1" x14ac:dyDescent="0.45">
      <c r="K4" s="60" t="s">
        <v>11</v>
      </c>
      <c r="L4" s="61"/>
      <c r="M4" s="61"/>
      <c r="N4" s="61"/>
      <c r="O4" s="61"/>
      <c r="P4" s="61"/>
      <c r="Q4" s="61"/>
      <c r="R4" s="62"/>
    </row>
    <row r="5" spans="2:18" ht="15.75" x14ac:dyDescent="0.25">
      <c r="C5" s="51" t="s">
        <v>16</v>
      </c>
      <c r="D5" s="52"/>
      <c r="E5" s="53"/>
      <c r="F5" s="66" t="s">
        <v>6</v>
      </c>
      <c r="G5" s="54" t="s">
        <v>17</v>
      </c>
      <c r="H5" s="55"/>
      <c r="I5" s="55"/>
    </row>
    <row r="6" spans="2:18" ht="37.15" customHeight="1" x14ac:dyDescent="0.25">
      <c r="C6" s="2" t="s">
        <v>1</v>
      </c>
      <c r="D6" s="3" t="s">
        <v>2</v>
      </c>
      <c r="E6" s="3" t="s">
        <v>3</v>
      </c>
      <c r="F6" s="67"/>
      <c r="G6" s="3" t="s">
        <v>2</v>
      </c>
      <c r="H6" s="3" t="s">
        <v>3</v>
      </c>
      <c r="I6" s="3" t="s">
        <v>4</v>
      </c>
      <c r="K6" s="58" t="s">
        <v>12</v>
      </c>
      <c r="N6" s="56" t="s">
        <v>13</v>
      </c>
      <c r="Q6" s="58" t="s">
        <v>8</v>
      </c>
    </row>
    <row r="7" spans="2:18" ht="14.45" customHeight="1" x14ac:dyDescent="0.25">
      <c r="B7" s="4" t="s">
        <v>5</v>
      </c>
      <c r="C7" s="17">
        <v>414</v>
      </c>
      <c r="D7" s="12">
        <v>22</v>
      </c>
      <c r="E7" s="20">
        <f>D7*L9</f>
        <v>5104</v>
      </c>
      <c r="F7" s="67"/>
      <c r="G7" s="5">
        <v>13</v>
      </c>
      <c r="H7" s="25">
        <f>G7*L9</f>
        <v>3016</v>
      </c>
      <c r="I7" s="25">
        <f>SUM(E7,H7)</f>
        <v>8120</v>
      </c>
      <c r="K7" s="59"/>
      <c r="N7" s="57"/>
      <c r="Q7" s="59"/>
    </row>
    <row r="8" spans="2:18" x14ac:dyDescent="0.25">
      <c r="C8" s="18">
        <v>418</v>
      </c>
      <c r="D8" s="13">
        <v>11</v>
      </c>
      <c r="E8" s="20">
        <f t="shared" ref="E8:E11" si="0">D8*L10</f>
        <v>3465</v>
      </c>
      <c r="F8" s="67"/>
      <c r="G8" s="5">
        <v>12</v>
      </c>
      <c r="H8" s="25">
        <f t="shared" ref="H8:H11" si="1">G8*L10</f>
        <v>3780</v>
      </c>
      <c r="I8" s="25">
        <f t="shared" ref="I8:I21" si="2">SUM(E8,H8)</f>
        <v>7245</v>
      </c>
      <c r="K8" s="1" t="s">
        <v>14</v>
      </c>
      <c r="L8" s="1" t="s">
        <v>15</v>
      </c>
      <c r="M8" s="1"/>
      <c r="N8" s="1" t="s">
        <v>14</v>
      </c>
      <c r="O8" s="1" t="s">
        <v>15</v>
      </c>
      <c r="P8" s="1"/>
      <c r="Q8" s="1" t="s">
        <v>14</v>
      </c>
      <c r="R8" s="1" t="s">
        <v>15</v>
      </c>
    </row>
    <row r="9" spans="2:18" x14ac:dyDescent="0.25">
      <c r="C9" s="18">
        <v>419</v>
      </c>
      <c r="D9" s="13">
        <v>17</v>
      </c>
      <c r="E9" s="20">
        <f t="shared" si="0"/>
        <v>4862</v>
      </c>
      <c r="F9" s="67"/>
      <c r="G9" s="5">
        <v>14</v>
      </c>
      <c r="H9" s="25">
        <f t="shared" si="1"/>
        <v>4004</v>
      </c>
      <c r="I9" s="25">
        <f t="shared" si="2"/>
        <v>8866</v>
      </c>
      <c r="K9" s="10">
        <v>414</v>
      </c>
      <c r="L9" s="11">
        <v>232</v>
      </c>
      <c r="N9" s="10">
        <v>215</v>
      </c>
      <c r="O9" s="11">
        <v>31</v>
      </c>
      <c r="Q9" s="10">
        <v>46</v>
      </c>
      <c r="R9" s="11">
        <v>320</v>
      </c>
    </row>
    <row r="10" spans="2:18" x14ac:dyDescent="0.25">
      <c r="C10" s="18">
        <v>422</v>
      </c>
      <c r="D10" s="13">
        <v>20</v>
      </c>
      <c r="E10" s="20">
        <f t="shared" si="0"/>
        <v>4320</v>
      </c>
      <c r="F10" s="67"/>
      <c r="G10" s="5">
        <v>11</v>
      </c>
      <c r="H10" s="25">
        <f t="shared" si="1"/>
        <v>2376</v>
      </c>
      <c r="I10" s="25">
        <f t="shared" si="2"/>
        <v>6696</v>
      </c>
      <c r="K10" s="10">
        <v>418</v>
      </c>
      <c r="L10" s="11">
        <v>315</v>
      </c>
      <c r="N10" s="10">
        <v>216</v>
      </c>
      <c r="O10" s="11">
        <v>28</v>
      </c>
      <c r="Q10" s="10">
        <v>47</v>
      </c>
      <c r="R10" s="11">
        <v>318</v>
      </c>
    </row>
    <row r="11" spans="2:18" x14ac:dyDescent="0.25">
      <c r="C11" s="19">
        <v>430</v>
      </c>
      <c r="D11" s="14">
        <v>12</v>
      </c>
      <c r="E11" s="20">
        <f t="shared" si="0"/>
        <v>3888</v>
      </c>
      <c r="F11" s="67"/>
      <c r="G11" s="5">
        <v>10</v>
      </c>
      <c r="H11" s="25">
        <f t="shared" si="1"/>
        <v>3240</v>
      </c>
      <c r="I11" s="25">
        <f t="shared" si="2"/>
        <v>7128</v>
      </c>
      <c r="K11" s="10">
        <v>419</v>
      </c>
      <c r="L11" s="11">
        <v>286</v>
      </c>
      <c r="N11" s="10">
        <v>222</v>
      </c>
      <c r="O11" s="11">
        <v>22</v>
      </c>
      <c r="Q11" s="10">
        <v>48</v>
      </c>
      <c r="R11" s="11">
        <v>416</v>
      </c>
    </row>
    <row r="12" spans="2:18" x14ac:dyDescent="0.25">
      <c r="B12" s="4" t="s">
        <v>7</v>
      </c>
      <c r="C12" s="17">
        <v>215</v>
      </c>
      <c r="D12" s="12">
        <v>42</v>
      </c>
      <c r="E12" s="20">
        <f>D12*O9</f>
        <v>1302</v>
      </c>
      <c r="F12" s="67"/>
      <c r="G12" s="5">
        <v>23</v>
      </c>
      <c r="H12" s="25">
        <f>G12*O9</f>
        <v>713</v>
      </c>
      <c r="I12" s="25">
        <f t="shared" si="2"/>
        <v>2015</v>
      </c>
      <c r="K12" s="10">
        <v>422</v>
      </c>
      <c r="L12" s="11">
        <v>216</v>
      </c>
      <c r="N12" s="10">
        <v>228</v>
      </c>
      <c r="O12" s="11">
        <v>32</v>
      </c>
      <c r="Q12" s="10">
        <v>49</v>
      </c>
      <c r="R12" s="11">
        <v>372</v>
      </c>
    </row>
    <row r="13" spans="2:18" x14ac:dyDescent="0.25">
      <c r="C13" s="18">
        <v>216</v>
      </c>
      <c r="D13" s="13">
        <v>27</v>
      </c>
      <c r="E13" s="20">
        <f t="shared" ref="E13:E16" si="3">D13*O10</f>
        <v>756</v>
      </c>
      <c r="F13" s="67"/>
      <c r="G13" s="5">
        <v>12</v>
      </c>
      <c r="H13" s="25">
        <f t="shared" ref="H13:H16" si="4">G13*O10</f>
        <v>336</v>
      </c>
      <c r="I13" s="28">
        <f t="shared" si="2"/>
        <v>1092</v>
      </c>
      <c r="K13" s="10">
        <v>430</v>
      </c>
      <c r="L13" s="11">
        <v>324</v>
      </c>
      <c r="N13" s="10">
        <v>334</v>
      </c>
      <c r="O13" s="11">
        <v>36</v>
      </c>
      <c r="Q13" s="10">
        <v>51</v>
      </c>
      <c r="R13" s="11">
        <v>315</v>
      </c>
    </row>
    <row r="14" spans="2:18" x14ac:dyDescent="0.25">
      <c r="C14" s="18">
        <v>222</v>
      </c>
      <c r="D14" s="13">
        <v>64</v>
      </c>
      <c r="E14" s="20">
        <f t="shared" si="3"/>
        <v>1408</v>
      </c>
      <c r="F14" s="67"/>
      <c r="G14" s="5">
        <v>14</v>
      </c>
      <c r="H14" s="25">
        <f t="shared" si="4"/>
        <v>308</v>
      </c>
      <c r="I14" s="25">
        <f t="shared" si="2"/>
        <v>1716</v>
      </c>
    </row>
    <row r="15" spans="2:18" x14ac:dyDescent="0.25">
      <c r="C15" s="18">
        <v>228</v>
      </c>
      <c r="D15" s="13">
        <v>44</v>
      </c>
      <c r="E15" s="20">
        <f t="shared" si="3"/>
        <v>1408</v>
      </c>
      <c r="F15" s="67"/>
      <c r="G15" s="5">
        <v>26</v>
      </c>
      <c r="H15" s="25">
        <f>G15*O12</f>
        <v>832</v>
      </c>
      <c r="I15" s="25">
        <f t="shared" si="2"/>
        <v>2240</v>
      </c>
    </row>
    <row r="16" spans="2:18" x14ac:dyDescent="0.25">
      <c r="C16" s="19">
        <v>334</v>
      </c>
      <c r="D16" s="14">
        <v>29</v>
      </c>
      <c r="E16" s="20">
        <f t="shared" si="3"/>
        <v>1044</v>
      </c>
      <c r="F16" s="67"/>
      <c r="G16" s="5">
        <v>18</v>
      </c>
      <c r="H16" s="25">
        <f t="shared" si="4"/>
        <v>648</v>
      </c>
      <c r="I16" s="25">
        <f t="shared" si="2"/>
        <v>1692</v>
      </c>
    </row>
    <row r="17" spans="2:11" x14ac:dyDescent="0.25">
      <c r="B17" s="4" t="s">
        <v>8</v>
      </c>
      <c r="C17" s="17">
        <v>46</v>
      </c>
      <c r="D17" s="12">
        <v>12</v>
      </c>
      <c r="E17" s="20">
        <f>D17*R9</f>
        <v>3840</v>
      </c>
      <c r="F17" s="67"/>
      <c r="G17" s="5">
        <v>4</v>
      </c>
      <c r="H17" s="25">
        <f>G17*R9</f>
        <v>1280</v>
      </c>
      <c r="I17" s="25">
        <f t="shared" si="2"/>
        <v>5120</v>
      </c>
    </row>
    <row r="18" spans="2:11" x14ac:dyDescent="0.25">
      <c r="C18" s="18">
        <v>47</v>
      </c>
      <c r="D18" s="13">
        <v>13</v>
      </c>
      <c r="E18" s="20">
        <f t="shared" ref="E18:E21" si="5">D18*R10</f>
        <v>4134</v>
      </c>
      <c r="F18" s="67"/>
      <c r="G18" s="5">
        <v>7</v>
      </c>
      <c r="H18" s="25">
        <f t="shared" ref="H18:H21" si="6">G18*R10</f>
        <v>2226</v>
      </c>
      <c r="I18" s="25">
        <f t="shared" si="2"/>
        <v>6360</v>
      </c>
    </row>
    <row r="19" spans="2:11" x14ac:dyDescent="0.25">
      <c r="C19" s="18">
        <v>48</v>
      </c>
      <c r="D19" s="13">
        <v>16</v>
      </c>
      <c r="E19" s="20">
        <f t="shared" si="5"/>
        <v>6656</v>
      </c>
      <c r="F19" s="67"/>
      <c r="G19" s="5">
        <v>10</v>
      </c>
      <c r="H19" s="25">
        <f t="shared" si="6"/>
        <v>4160</v>
      </c>
      <c r="I19" s="25">
        <f t="shared" si="2"/>
        <v>10816</v>
      </c>
    </row>
    <row r="20" spans="2:11" x14ac:dyDescent="0.25">
      <c r="C20" s="18">
        <v>49</v>
      </c>
      <c r="D20" s="13">
        <v>12</v>
      </c>
      <c r="E20" s="20">
        <f t="shared" si="5"/>
        <v>4464</v>
      </c>
      <c r="F20" s="67"/>
      <c r="G20" s="5">
        <v>8</v>
      </c>
      <c r="H20" s="25">
        <f t="shared" si="6"/>
        <v>2976</v>
      </c>
      <c r="I20" s="25">
        <f t="shared" si="2"/>
        <v>7440</v>
      </c>
    </row>
    <row r="21" spans="2:11" x14ac:dyDescent="0.25">
      <c r="C21" s="19">
        <v>51</v>
      </c>
      <c r="D21" s="14">
        <v>15</v>
      </c>
      <c r="E21" s="20">
        <f t="shared" si="5"/>
        <v>4725</v>
      </c>
      <c r="F21" s="67"/>
      <c r="G21" s="5">
        <v>4</v>
      </c>
      <c r="H21" s="25">
        <f t="shared" si="6"/>
        <v>1260</v>
      </c>
      <c r="I21" s="25">
        <f t="shared" si="2"/>
        <v>5985</v>
      </c>
    </row>
    <row r="22" spans="2:11" x14ac:dyDescent="0.25">
      <c r="C22" s="6"/>
      <c r="D22" s="7"/>
      <c r="E22" s="21"/>
      <c r="F22" s="67"/>
      <c r="G22" s="6"/>
      <c r="H22" s="26"/>
      <c r="I22" s="21"/>
    </row>
    <row r="23" spans="2:11" x14ac:dyDescent="0.25">
      <c r="B23" s="4" t="s">
        <v>9</v>
      </c>
      <c r="C23" s="8"/>
      <c r="D23" s="9">
        <f>SUM(D7:D21)</f>
        <v>356</v>
      </c>
      <c r="E23" s="22">
        <f>SUM(E7:E21)</f>
        <v>51376</v>
      </c>
      <c r="F23" s="68"/>
      <c r="G23" s="9">
        <f>SUM(G7:G21)</f>
        <v>186</v>
      </c>
      <c r="H23" s="22">
        <f>SUM(H7:H21)</f>
        <v>31155</v>
      </c>
      <c r="I23" s="22">
        <f>SUM(I7:I21)</f>
        <v>82531</v>
      </c>
    </row>
    <row r="24" spans="2:11" x14ac:dyDescent="0.25">
      <c r="E24" s="23"/>
      <c r="H24" s="23"/>
      <c r="I24" s="23"/>
    </row>
    <row r="25" spans="2:11" ht="27" customHeight="1" x14ac:dyDescent="0.25">
      <c r="B25" s="29" t="s">
        <v>10</v>
      </c>
      <c r="C25" s="30"/>
      <c r="D25" s="15">
        <f>SUM(D7:D11,D17:D21)</f>
        <v>150</v>
      </c>
      <c r="E25" s="24">
        <f>SUM(E7:E11,E17:E21)</f>
        <v>45458</v>
      </c>
      <c r="F25" s="16"/>
      <c r="G25" s="15">
        <f>SUM(G7:G11,G17:G21)</f>
        <v>93</v>
      </c>
      <c r="H25" s="24">
        <f>SUM(H7:H11,H17:H21)</f>
        <v>28318</v>
      </c>
      <c r="I25" s="27"/>
    </row>
    <row r="28" spans="2:11" x14ac:dyDescent="0.25">
      <c r="B28" s="31"/>
      <c r="C28" s="32"/>
      <c r="D28" s="32"/>
      <c r="E28" s="32"/>
      <c r="F28" s="32"/>
      <c r="G28" s="32"/>
      <c r="H28" s="32"/>
      <c r="I28" s="32"/>
      <c r="J28" s="32"/>
      <c r="K28" s="33"/>
    </row>
    <row r="29" spans="2:11" x14ac:dyDescent="0.25">
      <c r="B29" s="34" t="s">
        <v>19</v>
      </c>
      <c r="C29" s="35"/>
      <c r="D29" s="36"/>
      <c r="E29" s="35"/>
      <c r="F29" s="35"/>
      <c r="G29" s="35"/>
      <c r="H29" s="35"/>
      <c r="I29" s="35"/>
      <c r="J29" s="35"/>
      <c r="K29" s="37"/>
    </row>
    <row r="30" spans="2:11" x14ac:dyDescent="0.25">
      <c r="B30" s="38"/>
      <c r="C30" s="35"/>
      <c r="D30" s="35"/>
      <c r="E30" s="35"/>
      <c r="F30" s="35"/>
      <c r="G30" s="35"/>
      <c r="H30" s="35"/>
      <c r="I30" s="35"/>
      <c r="J30" s="35"/>
      <c r="K30" s="37"/>
    </row>
    <row r="31" spans="2:11" ht="15.75" x14ac:dyDescent="0.25">
      <c r="B31" s="39" t="s">
        <v>20</v>
      </c>
      <c r="C31" s="40"/>
      <c r="D31" s="40"/>
      <c r="E31" s="40"/>
      <c r="F31" s="35"/>
      <c r="G31" s="35"/>
      <c r="H31" s="35"/>
      <c r="I31" s="35"/>
      <c r="J31" s="35"/>
      <c r="K31" s="37"/>
    </row>
    <row r="32" spans="2:11" ht="15.75" x14ac:dyDescent="0.25">
      <c r="B32" s="39" t="s">
        <v>22</v>
      </c>
      <c r="C32" s="40"/>
      <c r="D32" s="40"/>
      <c r="E32" s="40"/>
      <c r="F32" s="35"/>
      <c r="G32" s="35"/>
      <c r="H32" s="35"/>
      <c r="I32" s="35"/>
      <c r="J32" s="35"/>
      <c r="K32" s="37"/>
    </row>
    <row r="33" spans="2:11" x14ac:dyDescent="0.25">
      <c r="B33" s="38"/>
      <c r="C33" s="35"/>
      <c r="D33" s="35"/>
      <c r="E33" s="35"/>
      <c r="F33" s="35"/>
      <c r="G33" s="35"/>
      <c r="H33" s="35"/>
      <c r="I33" s="45">
        <f>MAX(I7:I21)</f>
        <v>10816</v>
      </c>
      <c r="J33" s="35"/>
      <c r="K33" s="37"/>
    </row>
    <row r="34" spans="2:11" x14ac:dyDescent="0.25">
      <c r="B34" s="38"/>
      <c r="C34" s="35"/>
      <c r="D34" s="35"/>
      <c r="E34" s="35"/>
      <c r="F34" s="35"/>
      <c r="G34" s="35"/>
      <c r="H34" s="35"/>
      <c r="I34" s="35"/>
      <c r="J34" s="35"/>
      <c r="K34" s="37"/>
    </row>
    <row r="35" spans="2:11" x14ac:dyDescent="0.25">
      <c r="B35" s="38"/>
      <c r="C35" s="35"/>
      <c r="D35" s="35"/>
      <c r="E35" s="35"/>
      <c r="F35" s="35"/>
      <c r="G35" s="35"/>
      <c r="H35" s="35"/>
      <c r="I35" s="35"/>
      <c r="J35" s="35"/>
      <c r="K35" s="37"/>
    </row>
    <row r="36" spans="2:11" ht="15.75" x14ac:dyDescent="0.25">
      <c r="B36" s="39" t="s">
        <v>21</v>
      </c>
      <c r="C36" s="35"/>
      <c r="D36" s="35"/>
      <c r="E36" s="35"/>
      <c r="F36" s="35"/>
      <c r="G36" s="35"/>
      <c r="H36" s="35"/>
      <c r="I36" s="35"/>
      <c r="J36" s="35"/>
      <c r="K36" s="37"/>
    </row>
    <row r="37" spans="2:11" ht="15.75" x14ac:dyDescent="0.25">
      <c r="B37" s="39" t="s">
        <v>23</v>
      </c>
      <c r="C37" s="35"/>
      <c r="D37" s="35"/>
      <c r="E37" s="35"/>
      <c r="F37" s="35"/>
      <c r="G37" s="35"/>
      <c r="H37" s="35"/>
      <c r="I37" s="35"/>
      <c r="J37" s="35"/>
      <c r="K37" s="37"/>
    </row>
    <row r="38" spans="2:11" x14ac:dyDescent="0.25">
      <c r="B38" s="38"/>
      <c r="C38" s="35"/>
      <c r="D38" s="35"/>
      <c r="E38" s="35"/>
      <c r="F38" s="35"/>
      <c r="G38" s="35"/>
      <c r="H38" s="35"/>
      <c r="I38" s="44">
        <f>COUNT(C7:C21)</f>
        <v>15</v>
      </c>
      <c r="J38" s="35"/>
      <c r="K38" s="37"/>
    </row>
    <row r="39" spans="2:11" ht="15.75" x14ac:dyDescent="0.25">
      <c r="B39" s="38"/>
      <c r="C39" s="40"/>
      <c r="D39" s="35"/>
      <c r="E39" s="35"/>
      <c r="F39" s="35"/>
      <c r="G39" s="35"/>
      <c r="H39" s="35"/>
      <c r="I39" s="35"/>
      <c r="J39" s="35"/>
      <c r="K39" s="37"/>
    </row>
    <row r="40" spans="2:11" x14ac:dyDescent="0.25">
      <c r="B40" s="38"/>
      <c r="C40" s="35"/>
      <c r="D40" s="35"/>
      <c r="E40" s="35"/>
      <c r="F40" s="35"/>
      <c r="G40" s="35"/>
      <c r="H40" s="35"/>
      <c r="I40" s="35"/>
      <c r="J40" s="35"/>
      <c r="K40" s="37"/>
    </row>
    <row r="41" spans="2:11" ht="15.75" x14ac:dyDescent="0.25">
      <c r="B41" s="39" t="s">
        <v>24</v>
      </c>
      <c r="C41" s="35"/>
      <c r="D41" s="35"/>
      <c r="E41" s="35"/>
      <c r="F41" s="35"/>
      <c r="G41" s="35"/>
      <c r="H41" s="35"/>
      <c r="I41" s="35"/>
      <c r="J41" s="35"/>
      <c r="K41" s="37"/>
    </row>
    <row r="42" spans="2:11" ht="15.75" x14ac:dyDescent="0.25">
      <c r="B42" s="39" t="s">
        <v>25</v>
      </c>
      <c r="C42" s="35"/>
      <c r="D42" s="35"/>
      <c r="E42" s="35"/>
      <c r="F42" s="35"/>
      <c r="G42" s="35"/>
      <c r="H42" s="35"/>
      <c r="I42" s="46">
        <f>MIN(G7:G11)</f>
        <v>10</v>
      </c>
      <c r="J42" s="35"/>
      <c r="K42" s="37"/>
    </row>
    <row r="43" spans="2:11" x14ac:dyDescent="0.25">
      <c r="B43" s="38"/>
      <c r="C43" s="35"/>
      <c r="D43" s="35"/>
      <c r="E43" s="35"/>
      <c r="F43" s="35"/>
      <c r="G43" s="35"/>
      <c r="H43" s="35"/>
      <c r="I43" s="35"/>
      <c r="J43" s="35"/>
      <c r="K43" s="37"/>
    </row>
    <row r="44" spans="2:11" x14ac:dyDescent="0.25">
      <c r="B44" s="38"/>
      <c r="C44" s="35"/>
      <c r="D44" s="35"/>
      <c r="E44" s="35"/>
      <c r="F44" s="35"/>
      <c r="G44" s="35"/>
      <c r="H44" s="35"/>
      <c r="I44" s="35"/>
      <c r="J44" s="35"/>
      <c r="K44" s="37"/>
    </row>
    <row r="45" spans="2:11" x14ac:dyDescent="0.25">
      <c r="B45" s="38"/>
      <c r="C45" s="35"/>
      <c r="D45" s="35"/>
      <c r="E45" s="35"/>
      <c r="F45" s="35"/>
      <c r="G45" s="35"/>
      <c r="H45" s="35"/>
      <c r="I45" s="35"/>
      <c r="J45" s="35"/>
      <c r="K45" s="37"/>
    </row>
    <row r="46" spans="2:11" ht="15.75" x14ac:dyDescent="0.25">
      <c r="B46" s="39" t="s">
        <v>26</v>
      </c>
      <c r="C46" s="35"/>
      <c r="D46" s="35"/>
      <c r="E46" s="35"/>
      <c r="F46" s="35"/>
      <c r="G46" s="35"/>
      <c r="H46" s="35"/>
      <c r="I46" s="35"/>
      <c r="J46" s="35"/>
      <c r="K46" s="37"/>
    </row>
    <row r="47" spans="2:11" x14ac:dyDescent="0.25">
      <c r="B47" s="38"/>
      <c r="C47" s="35"/>
      <c r="D47" s="35"/>
      <c r="E47" s="35"/>
      <c r="F47" s="35"/>
      <c r="G47" s="35"/>
      <c r="H47" s="35"/>
      <c r="I47" s="47">
        <f>AVERAGE(R9:R13)</f>
        <v>348.2</v>
      </c>
      <c r="J47" s="35"/>
      <c r="K47" s="37"/>
    </row>
    <row r="48" spans="2:11" x14ac:dyDescent="0.25">
      <c r="B48" s="41"/>
      <c r="C48" s="42"/>
      <c r="D48" s="42"/>
      <c r="E48" s="42"/>
      <c r="F48" s="42"/>
      <c r="G48" s="42"/>
      <c r="H48" s="42"/>
      <c r="I48" s="42"/>
      <c r="J48" s="42"/>
      <c r="K48" s="43"/>
    </row>
  </sheetData>
  <mergeCells count="9">
    <mergeCell ref="B1:I1"/>
    <mergeCell ref="C5:E5"/>
    <mergeCell ref="G5:I5"/>
    <mergeCell ref="N6:N7"/>
    <mergeCell ref="Q6:Q7"/>
    <mergeCell ref="K4:R4"/>
    <mergeCell ref="B3:I3"/>
    <mergeCell ref="F5:F23"/>
    <mergeCell ref="K6:K7"/>
  </mergeCells>
  <conditionalFormatting sqref="E7:E21">
    <cfRule type="top10" dxfId="2" priority="3" rank="1"/>
  </conditionalFormatting>
  <conditionalFormatting sqref="H7:H21">
    <cfRule type="cellIs" dxfId="1" priority="2" operator="greaterThan">
      <formula>3000</formula>
    </cfRule>
  </conditionalFormatting>
  <conditionalFormatting sqref="I7:I21">
    <cfRule type="top10" dxfId="0" priority="1" bottom="1" rank="1"/>
  </conditionalFormatting>
  <printOptions horizontalCentered="1" verticalCentered="1" headings="1"/>
  <pageMargins left="0.70866141732283472" right="0.70866141732283472" top="0.74803149606299213" bottom="0.74803149606299213" header="0.31496062992125984" footer="0.31496062992125984"/>
  <pageSetup paperSize="9" orientation="landscape" horizontalDpi="1200" verticalDpi="1200" r:id="rId1"/>
  <headerFooter>
    <oddHeader>&amp;LPrénom Nom&amp;RClasse</oddHeader>
    <oddFooter>&amp;C&amp;8&amp;Z&amp;F</oddFooter>
  </headerFooter>
  <ignoredErrors>
    <ignoredError sqref="I4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Mise en page, ex. Porcelaines</vt:lpstr>
      <vt:lpstr>'Mise en page, ex. Porcelaines'!Zone_d_impression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Anne-Emmanuelle Favre</dc:creator>
  <cp:lastModifiedBy>Michèle Grosset-Bovier</cp:lastModifiedBy>
  <cp:lastPrinted>2021-02-06T17:02:13Z</cp:lastPrinted>
  <dcterms:created xsi:type="dcterms:W3CDTF">2016-10-10T06:23:12Z</dcterms:created>
  <dcterms:modified xsi:type="dcterms:W3CDTF">2021-02-06T17:02:17Z</dcterms:modified>
</cp:coreProperties>
</file>