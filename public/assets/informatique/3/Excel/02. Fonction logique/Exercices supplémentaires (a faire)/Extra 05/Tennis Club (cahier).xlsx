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70"/>
  <workbookPr defaultThemeVersion="124226"/>
  <mc:AlternateContent xmlns:mc="http://schemas.openxmlformats.org/markup-compatibility/2006">
    <mc:Choice Requires="x15">
      <x15ac:absPath xmlns:x15ac="http://schemas.microsoft.com/office/spreadsheetml/2010/11/ac" url="G:\0000000 - 2021-2022- Support de cours\1re année\1re, ICA-I\1re, I - cahier exercice\Sem. 2\"/>
    </mc:Choice>
  </mc:AlternateContent>
  <xr:revisionPtr revIDLastSave="0" documentId="13_ncr:1_{47AB90CA-EF4A-4BFB-AE39-23444ABEF821}" xr6:coauthVersionLast="36" xr6:coauthVersionMax="36" xr10:uidLastSave="{00000000-0000-0000-0000-000000000000}"/>
  <bookViews>
    <workbookView xWindow="120" yWindow="120" windowWidth="19440" windowHeight="12240" xr2:uid="{00000000-000D-0000-FFFF-FFFF00000000}"/>
  </bookViews>
  <sheets>
    <sheet name="Tennis Club" sheetId="1" r:id="rId1"/>
  </sheets>
  <definedNames>
    <definedName name="ANNEE">#REF!</definedName>
    <definedName name="autres">#REF!</definedName>
    <definedName name="AVS">#REF!</definedName>
    <definedName name="BASE">#REF!</definedName>
    <definedName name="dedu">#REF!</definedName>
    <definedName name="HEURES">#REF!</definedName>
    <definedName name="km">#REF!</definedName>
    <definedName name="ne">#REF!</definedName>
    <definedName name="PRIME">#REF!</definedName>
    <definedName name="SALAIRES">#REF!</definedName>
    <definedName name="sb">#REF!</definedName>
    <definedName name="_xlnm.Print_Area" localSheetId="0">'Tennis Club'!$A$1:$J$48</definedName>
  </definedNames>
  <calcPr calcId="191029"/>
</workbook>
</file>

<file path=xl/calcChain.xml><?xml version="1.0" encoding="utf-8"?>
<calcChain xmlns="http://schemas.openxmlformats.org/spreadsheetml/2006/main">
  <c r="F23" i="1" l="1"/>
  <c r="F22" i="1"/>
  <c r="I21" i="1"/>
  <c r="J19" i="1"/>
  <c r="J18" i="1"/>
  <c r="G18" i="1"/>
  <c r="J17" i="1"/>
  <c r="J16" i="1"/>
  <c r="J15" i="1"/>
  <c r="J14" i="1"/>
  <c r="G14" i="1"/>
  <c r="J12" i="1"/>
  <c r="G12" i="1"/>
  <c r="J11" i="1"/>
  <c r="J10" i="1"/>
  <c r="G10" i="1"/>
  <c r="E15" i="1"/>
  <c r="F15" i="1" s="1"/>
  <c r="G22" i="1" l="1"/>
  <c r="J21" i="1"/>
  <c r="G23" i="1"/>
  <c r="E12" i="1"/>
  <c r="F12" i="1" s="1"/>
  <c r="H12" i="1" s="1"/>
  <c r="E17" i="1"/>
  <c r="F17" i="1" s="1"/>
  <c r="G17" i="1" s="1"/>
  <c r="H17" i="1" s="1"/>
  <c r="E11" i="1"/>
  <c r="F11" i="1" s="1"/>
  <c r="G11" i="1" s="1"/>
  <c r="H11" i="1" s="1"/>
  <c r="E16" i="1"/>
  <c r="F16" i="1" s="1"/>
  <c r="G16" i="1" s="1"/>
  <c r="G15" i="1"/>
  <c r="H15" i="1" s="1"/>
  <c r="E14" i="1"/>
  <c r="F14" i="1" s="1"/>
  <c r="H14" i="1" s="1"/>
  <c r="E19" i="1"/>
  <c r="F19" i="1" s="1"/>
  <c r="E13" i="1"/>
  <c r="F13" i="1" s="1"/>
  <c r="E18" i="1"/>
  <c r="F18" i="1" s="1"/>
  <c r="H18" i="1" s="1"/>
  <c r="E10" i="1"/>
  <c r="F10" i="1" s="1"/>
  <c r="H10" i="1" s="1"/>
  <c r="H16" i="1" l="1"/>
  <c r="G13" i="1"/>
  <c r="H13" i="1" s="1"/>
  <c r="G19" i="1"/>
  <c r="H19" i="1" s="1"/>
  <c r="C22" i="1" l="1"/>
</calcChain>
</file>

<file path=xl/sharedStrings.xml><?xml version="1.0" encoding="utf-8"?>
<sst xmlns="http://schemas.openxmlformats.org/spreadsheetml/2006/main" count="66" uniqueCount="55">
  <si>
    <t>jusqu'à 15</t>
  </si>
  <si>
    <t>16 à 20</t>
  </si>
  <si>
    <t>plus de 20</t>
  </si>
  <si>
    <t>COTISATION</t>
  </si>
  <si>
    <t>1 heure =</t>
  </si>
  <si>
    <t>NOM</t>
  </si>
  <si>
    <t>PRENOM</t>
  </si>
  <si>
    <t>ETUDIANT</t>
  </si>
  <si>
    <t>AGE</t>
  </si>
  <si>
    <t>FACTURE</t>
  </si>
  <si>
    <t>Devillaz</t>
  </si>
  <si>
    <t>Claude</t>
  </si>
  <si>
    <t>NON</t>
  </si>
  <si>
    <t>Duclos</t>
  </si>
  <si>
    <t>Germain</t>
  </si>
  <si>
    <t>OUI</t>
  </si>
  <si>
    <t>Dumoulin</t>
  </si>
  <si>
    <t>Marcel</t>
  </si>
  <si>
    <t>Fournier</t>
  </si>
  <si>
    <t>Claire</t>
  </si>
  <si>
    <t>Hagen</t>
  </si>
  <si>
    <t>Franz</t>
  </si>
  <si>
    <t>Lagger</t>
  </si>
  <si>
    <t>Daniel</t>
  </si>
  <si>
    <t>Léger</t>
  </si>
  <si>
    <t>Lucien</t>
  </si>
  <si>
    <t>Petit</t>
  </si>
  <si>
    <t>Maurice</t>
  </si>
  <si>
    <t>Prevost</t>
  </si>
  <si>
    <t>Paul</t>
  </si>
  <si>
    <t>Rigolet</t>
  </si>
  <si>
    <t>Robert</t>
  </si>
  <si>
    <t>TOTAL DES FACTURES AU</t>
  </si>
  <si>
    <t>TOTAL :</t>
  </si>
  <si>
    <t>ANNEE
NAISSANCE</t>
  </si>
  <si>
    <t>TOTAL
DE BASE</t>
  </si>
  <si>
    <t>HEURES
DE COURS</t>
  </si>
  <si>
    <t>HEURES
 A PAYER</t>
  </si>
  <si>
    <t>REMISE ETUDIANT</t>
  </si>
  <si>
    <t>8. La colonne des années de naissance ne doit accepter que des valeurs entre 1920 et 20**. Affichez "Année fausse" en cas de saisie erronnée.</t>
  </si>
  <si>
    <t>1. Utilisez Wordart pour le titre et ajoutez l'image Tennis qui vous est fournie dans un fichier Word.</t>
  </si>
  <si>
    <t>REMISE
ETUDIANT</t>
  </si>
  <si>
    <t>(COLONNE H)</t>
  </si>
  <si>
    <t>3. Le montant total de base se compose de la cotisation (B5) et de la licence (H2 à H4 selon l'âge).</t>
  </si>
  <si>
    <t>4. Le montant de la remise étudiant est calculé sur le montant total en utilisant le taux en B6 et le contenu de la colonne D.</t>
  </si>
  <si>
    <t>6. Ajoutez le prix des heures de cours données selon le nombre d'heures et le prix horaire (H6).</t>
  </si>
  <si>
    <r>
      <t xml:space="preserve">    </t>
    </r>
    <r>
      <rPr>
        <b/>
        <sz val="12"/>
        <rFont val="Arial"/>
        <family val="2"/>
      </rPr>
      <t>Remarque</t>
    </r>
    <r>
      <rPr>
        <sz val="12"/>
        <rFont val="Arial"/>
        <family val="2"/>
      </rPr>
      <t xml:space="preserve"> : aucune autre saisie ne doit être acceptée.</t>
    </r>
  </si>
  <si>
    <t>ANNEE</t>
  </si>
  <si>
    <t xml:space="preserve">LICENCE </t>
  </si>
  <si>
    <t>COURS</t>
  </si>
  <si>
    <t>Indications :</t>
  </si>
  <si>
    <t>5. Pour le montant de la facture, il faut enlever le montant de la remise étudiant à celui du montant total (arrondir à 50 ct.).</t>
  </si>
  <si>
    <t xml:space="preserve">2. Utilisez l'année (B4) pour le calcul de l'âge. </t>
  </si>
  <si>
    <t>7. Ajoutez les formules dans les cellules des lignes 21, 22 et 23, sans aucun ajout de données dans le classeur.</t>
  </si>
  <si>
    <t>9. Ajoutez le graphique et protégez toutes les cellules comportant des calculs. L'utilisateur ne pourra ni modifier, ni sélectionner ces
    cellules. Par contre, il pourra modifier le contenu et le format du contenu de toutes les autres cellules.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</si>
</sst>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 &quot;CHF&quot;\ * #,##0_ ;_ &quot;CHF&quot;\ * \-#,##0_ ;_ &quot;CHF&quot;\ * &quot;-&quot;_ ;_ @_ "/>
    <numFmt numFmtId="43" formatCode="_ * #,##0.00_ ;_ * \-#,##0.00_ ;_ * &quot;-&quot;??_ ;_ @_ "/>
    <numFmt numFmtId="164" formatCode="General\ &quot;ans&quot;"/>
    <numFmt numFmtId="165" formatCode="#,##0.00_ ;\-#,##0.00\ "/>
    <numFmt numFmtId="166" formatCode="[$-40C]d\ mmmm\ yyyy;@"/>
    <numFmt numFmtId="167" formatCode="[h]:mm"/>
    <numFmt numFmtId="168" formatCode="&quot;CHF&quot;\ * #,##0.00"/>
    <numFmt numFmtId="169" formatCode="[$€]\ #,##0.00;[Red][$€]\ \-#,##0.00"/>
  </numFmts>
  <fonts count="8" x14ac:knownFonts="1">
    <font>
      <sz val="10"/>
      <name val="Arial"/>
      <family val="2"/>
    </font>
    <font>
      <sz val="10"/>
      <name val="Arial"/>
      <family val="2"/>
    </font>
    <font>
      <b/>
      <sz val="22"/>
      <name val="Arial"/>
      <family val="2"/>
    </font>
    <font>
      <sz val="11"/>
      <name val="Arial"/>
      <family val="2"/>
    </font>
    <font>
      <sz val="12"/>
      <name val="Arial"/>
      <family val="2"/>
    </font>
    <font>
      <b/>
      <sz val="12"/>
      <name val="Arial"/>
      <family val="2"/>
    </font>
    <font>
      <sz val="10"/>
      <name val="MS Sans Serif"/>
      <family val="2"/>
    </font>
    <font>
      <sz val="12"/>
      <name val="MS Sans Serif"/>
      <family val="2"/>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s>
  <cellStyleXfs count="9">
    <xf numFmtId="0" fontId="0" fillId="0" borderId="0"/>
    <xf numFmtId="0" fontId="1" fillId="0" borderId="0"/>
    <xf numFmtId="40" fontId="6"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169" fontId="6" fillId="0" borderId="0" applyFont="0" applyFill="0" applyBorder="0" applyAlignment="0" applyProtection="0"/>
    <xf numFmtId="0" fontId="6" fillId="0" borderId="0"/>
    <xf numFmtId="0" fontId="1" fillId="0" borderId="0"/>
  </cellStyleXfs>
  <cellXfs count="46">
    <xf numFmtId="0" fontId="0" fillId="0" borderId="0" xfId="0"/>
    <xf numFmtId="0" fontId="3" fillId="0" borderId="0" xfId="1" applyFont="1"/>
    <xf numFmtId="0" fontId="4" fillId="0" borderId="0" xfId="1" applyFont="1"/>
    <xf numFmtId="0" fontId="5" fillId="0" borderId="0" xfId="1" applyFont="1" applyBorder="1" applyAlignment="1">
      <alignment horizontal="left"/>
    </xf>
    <xf numFmtId="0" fontId="5" fillId="0" borderId="1" xfId="1" applyFont="1" applyBorder="1"/>
    <xf numFmtId="0" fontId="5" fillId="0" borderId="0" xfId="1" applyFont="1" applyAlignment="1">
      <alignment horizontal="left"/>
    </xf>
    <xf numFmtId="0" fontId="5" fillId="0" borderId="0" xfId="1" applyFont="1" applyBorder="1" applyAlignment="1">
      <alignment horizontal="center"/>
    </xf>
    <xf numFmtId="0" fontId="5" fillId="0" borderId="0" xfId="1" applyFont="1" applyBorder="1"/>
    <xf numFmtId="0" fontId="4" fillId="0" borderId="0" xfId="0" applyFont="1"/>
    <xf numFmtId="0" fontId="5" fillId="0" borderId="0" xfId="1" applyFont="1"/>
    <xf numFmtId="9" fontId="4" fillId="0" borderId="2" xfId="3" applyFont="1" applyBorder="1" applyAlignment="1">
      <alignment horizontal="center"/>
    </xf>
    <xf numFmtId="0" fontId="5" fillId="0" borderId="0" xfId="1" applyFont="1" applyAlignment="1">
      <alignment horizontal="center"/>
    </xf>
    <xf numFmtId="0" fontId="7" fillId="0" borderId="0" xfId="5" applyFont="1"/>
    <xf numFmtId="0" fontId="5" fillId="0" borderId="2" xfId="1" applyFont="1" applyBorder="1"/>
    <xf numFmtId="0" fontId="5" fillId="0" borderId="0" xfId="1" applyFont="1" applyAlignment="1">
      <alignment horizontal="right"/>
    </xf>
    <xf numFmtId="0" fontId="5" fillId="0" borderId="3" xfId="1" applyFont="1" applyBorder="1" applyAlignment="1">
      <alignment horizontal="center"/>
    </xf>
    <xf numFmtId="0" fontId="3" fillId="0" borderId="0" xfId="1" applyFont="1" applyAlignment="1">
      <alignment vertical="center"/>
    </xf>
    <xf numFmtId="0" fontId="4" fillId="0" borderId="0" xfId="1" applyFont="1" applyAlignment="1">
      <alignment vertical="center"/>
    </xf>
    <xf numFmtId="0" fontId="5" fillId="0" borderId="1" xfId="1" applyFont="1" applyBorder="1" applyAlignment="1">
      <alignment horizontal="left" vertical="center"/>
    </xf>
    <xf numFmtId="0" fontId="5" fillId="0" borderId="1" xfId="4" applyFont="1" applyBorder="1" applyAlignment="1">
      <alignment horizontal="left" vertical="center"/>
    </xf>
    <xf numFmtId="0" fontId="5" fillId="0" borderId="1" xfId="1" applyFont="1" applyBorder="1" applyAlignment="1">
      <alignment horizontal="center" vertical="center" wrapText="1"/>
    </xf>
    <xf numFmtId="0" fontId="5" fillId="0" borderId="1" xfId="1" applyFont="1" applyBorder="1" applyAlignment="1">
      <alignment horizontal="center" vertical="center"/>
    </xf>
    <xf numFmtId="1" fontId="4" fillId="0" borderId="1" xfId="0" applyNumberFormat="1" applyFont="1" applyBorder="1"/>
    <xf numFmtId="0" fontId="4" fillId="0" borderId="1" xfId="1" applyFont="1" applyBorder="1" applyAlignment="1">
      <alignment horizontal="center"/>
    </xf>
    <xf numFmtId="20" fontId="4" fillId="0" borderId="1" xfId="1" applyNumberFormat="1" applyFont="1" applyBorder="1" applyAlignment="1">
      <alignment horizontal="center"/>
    </xf>
    <xf numFmtId="0" fontId="4" fillId="0" borderId="0" xfId="1" applyFont="1"/>
    <xf numFmtId="0" fontId="5" fillId="0" borderId="0" xfId="1" applyFont="1"/>
    <xf numFmtId="0" fontId="3" fillId="0" borderId="0" xfId="1" applyFont="1"/>
    <xf numFmtId="42" fontId="4" fillId="0" borderId="1" xfId="2" applyNumberFormat="1" applyFont="1" applyBorder="1" applyAlignment="1">
      <alignment horizontal="right" indent="1"/>
    </xf>
    <xf numFmtId="42" fontId="4" fillId="0" borderId="1" xfId="1" applyNumberFormat="1" applyFont="1" applyBorder="1" applyAlignment="1">
      <alignment horizontal="right" indent="1"/>
    </xf>
    <xf numFmtId="42" fontId="3" fillId="0" borderId="0" xfId="1" applyNumberFormat="1" applyFont="1" applyAlignment="1">
      <alignment horizontal="right" indent="1"/>
    </xf>
    <xf numFmtId="42" fontId="4" fillId="0" borderId="4" xfId="2" applyNumberFormat="1" applyFont="1" applyBorder="1" applyAlignment="1">
      <alignment horizontal="right" indent="1"/>
    </xf>
    <xf numFmtId="0" fontId="5" fillId="0" borderId="1" xfId="1" applyFont="1" applyBorder="1" applyAlignment="1">
      <alignment horizontal="right"/>
    </xf>
    <xf numFmtId="0" fontId="4" fillId="0" borderId="0" xfId="1" applyFont="1"/>
    <xf numFmtId="166" fontId="4" fillId="2" borderId="0" xfId="1" applyNumberFormat="1" applyFont="1" applyFill="1" applyAlignment="1">
      <alignment horizontal="left"/>
    </xf>
    <xf numFmtId="168" fontId="4" fillId="2" borderId="0" xfId="1" applyNumberFormat="1" applyFont="1" applyFill="1" applyAlignment="1">
      <alignment horizontal="center"/>
    </xf>
    <xf numFmtId="0" fontId="4" fillId="2" borderId="1" xfId="1" applyFont="1" applyFill="1" applyBorder="1" applyAlignment="1">
      <alignment horizontal="center"/>
    </xf>
    <xf numFmtId="9" fontId="4" fillId="2" borderId="1" xfId="3" applyFont="1" applyFill="1" applyBorder="1" applyAlignment="1">
      <alignment horizontal="center"/>
    </xf>
    <xf numFmtId="167" fontId="4" fillId="2" borderId="0" xfId="1" applyNumberFormat="1" applyFont="1" applyFill="1" applyAlignment="1">
      <alignment horizontal="center"/>
    </xf>
    <xf numFmtId="165" fontId="4" fillId="2" borderId="1" xfId="1" applyNumberFormat="1" applyFont="1" applyFill="1" applyBorder="1"/>
    <xf numFmtId="164" fontId="4" fillId="2" borderId="1" xfId="1" applyNumberFormat="1" applyFont="1" applyFill="1" applyBorder="1" applyAlignment="1">
      <alignment horizontal="center"/>
    </xf>
    <xf numFmtId="43" fontId="4" fillId="2" borderId="1" xfId="1" applyNumberFormat="1" applyFont="1" applyFill="1" applyBorder="1"/>
    <xf numFmtId="0" fontId="5" fillId="2" borderId="2" xfId="1" applyFont="1" applyFill="1" applyBorder="1" applyAlignment="1">
      <alignment horizontal="center"/>
    </xf>
    <xf numFmtId="0" fontId="2" fillId="0" borderId="0" xfId="1" applyFont="1" applyAlignment="1">
      <alignment horizontal="center"/>
    </xf>
    <xf numFmtId="0" fontId="4" fillId="0" borderId="0" xfId="1" applyFont="1"/>
    <xf numFmtId="0" fontId="4" fillId="0" borderId="0" xfId="1" applyFont="1" applyAlignment="1">
      <alignment wrapText="1"/>
    </xf>
  </cellXfs>
  <cellStyles count="9">
    <cellStyle name="Euro" xfId="6" xr:uid="{00000000-0005-0000-0000-000000000000}"/>
    <cellStyle name="Milliers_EC1" xfId="2" xr:uid="{00000000-0005-0000-0000-000001000000}"/>
    <cellStyle name="Normal" xfId="0" builtinId="0"/>
    <cellStyle name="Normal 2" xfId="7" xr:uid="{00000000-0005-0000-0000-000003000000}"/>
    <cellStyle name="Normal 3" xfId="8" xr:uid="{00000000-0005-0000-0000-000004000000}"/>
    <cellStyle name="Normal_EC1" xfId="5" xr:uid="{00000000-0005-0000-0000-000005000000}"/>
    <cellStyle name="Normal_EXA9594 3" xfId="4" xr:uid="{00000000-0005-0000-0000-000006000000}"/>
    <cellStyle name="Normal_Examen excel EC1 1296 2" xfId="1" xr:uid="{00000000-0005-0000-0000-000007000000}"/>
    <cellStyle name="Pourcentage 2" xfId="3"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Calibri"/>
                <a:ea typeface="Calibri"/>
                <a:cs typeface="Calibri"/>
              </a:defRPr>
            </a:pPr>
            <a:r>
              <a:rPr lang="fr-CH"/>
              <a:t>POURCENTAGE DES ETUDIANTS</a:t>
            </a:r>
          </a:p>
        </c:rich>
      </c:tx>
      <c:layout>
        <c:manualLayout>
          <c:xMode val="edge"/>
          <c:yMode val="edge"/>
          <c:x val="0.16058578188415285"/>
          <c:y val="6.2015503875968991E-2"/>
        </c:manualLayout>
      </c:layout>
      <c:overlay val="0"/>
    </c:title>
    <c:autoTitleDeleted val="0"/>
    <c:plotArea>
      <c:layout>
        <c:manualLayout>
          <c:layoutTarget val="inner"/>
          <c:xMode val="edge"/>
          <c:yMode val="edge"/>
          <c:x val="0.26680993000874892"/>
          <c:y val="0.18305118110236218"/>
          <c:w val="0.44138035870516185"/>
          <c:h val="0.73563393117526976"/>
        </c:manualLayout>
      </c:layout>
      <c:pieChart>
        <c:varyColors val="1"/>
        <c:ser>
          <c:idx val="0"/>
          <c:order val="0"/>
          <c:dPt>
            <c:idx val="0"/>
            <c:bubble3D val="0"/>
            <c:explosion val="23"/>
            <c:spPr>
              <a:solidFill>
                <a:schemeClr val="accent3"/>
              </a:solidFill>
            </c:spPr>
            <c:extLst>
              <c:ext xmlns:c16="http://schemas.microsoft.com/office/drawing/2014/chart" uri="{C3380CC4-5D6E-409C-BE32-E72D297353CC}">
                <c16:uniqueId val="{00000001-A2D2-441D-AC3C-53AAF07A4505}"/>
              </c:ext>
            </c:extLst>
          </c:dPt>
          <c:dPt>
            <c:idx val="1"/>
            <c:bubble3D val="0"/>
            <c:spPr>
              <a:solidFill>
                <a:schemeClr val="accent4">
                  <a:lumMod val="40000"/>
                  <a:lumOff val="60000"/>
                </a:schemeClr>
              </a:solidFill>
            </c:spPr>
            <c:extLst>
              <c:ext xmlns:c16="http://schemas.microsoft.com/office/drawing/2014/chart" uri="{C3380CC4-5D6E-409C-BE32-E72D297353CC}">
                <c16:uniqueId val="{00000003-A2D2-441D-AC3C-53AAF07A4505}"/>
              </c:ext>
            </c:extLst>
          </c:dPt>
          <c:dLbls>
            <c:spPr>
              <a:noFill/>
              <a:ln>
                <a:noFill/>
              </a:ln>
              <a:effectLst/>
            </c:spPr>
            <c:txPr>
              <a:bodyPr/>
              <a:lstStyle/>
              <a:p>
                <a:pPr>
                  <a:defRPr sz="1100" b="1" i="0" u="none" strike="noStrike" baseline="0">
                    <a:solidFill>
                      <a:srgbClr val="000000"/>
                    </a:solidFill>
                    <a:latin typeface="Calibri"/>
                    <a:ea typeface="Calibri"/>
                    <a:cs typeface="Calibri"/>
                  </a:defRPr>
                </a:pPr>
                <a:endParaRPr lang="fr-FR"/>
              </a:p>
            </c:txPr>
            <c:showLegendKey val="0"/>
            <c:showVal val="0"/>
            <c:showCatName val="1"/>
            <c:showSerName val="0"/>
            <c:showPercent val="1"/>
            <c:showBubbleSize val="0"/>
            <c:showLeaderLines val="1"/>
            <c:extLst>
              <c:ext xmlns:c15="http://schemas.microsoft.com/office/drawing/2012/chart" uri="{CE6537A1-D6FC-4f65-9D91-7224C49458BB}"/>
            </c:extLst>
          </c:dLbls>
          <c:cat>
            <c:strRef>
              <c:f>'Tennis Club'!$E$22:$E$23</c:f>
              <c:strCache>
                <c:ptCount val="2"/>
                <c:pt idx="0">
                  <c:v>OUI</c:v>
                </c:pt>
                <c:pt idx="1">
                  <c:v>NON</c:v>
                </c:pt>
              </c:strCache>
            </c:strRef>
          </c:cat>
          <c:val>
            <c:numRef>
              <c:f>'Tennis Club'!$F$22:$F$23</c:f>
              <c:numCache>
                <c:formatCode>General</c:formatCode>
                <c:ptCount val="2"/>
                <c:pt idx="0">
                  <c:v>6</c:v>
                </c:pt>
                <c:pt idx="1">
                  <c:v>4</c:v>
                </c:pt>
              </c:numCache>
            </c:numRef>
          </c:val>
          <c:extLst>
            <c:ext xmlns:c16="http://schemas.microsoft.com/office/drawing/2014/chart" uri="{C3380CC4-5D6E-409C-BE32-E72D297353CC}">
              <c16:uniqueId val="{00000004-A2D2-441D-AC3C-53AAF07A4505}"/>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wm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800100</xdr:colOff>
      <xdr:row>22</xdr:row>
      <xdr:rowOff>123825</xdr:rowOff>
    </xdr:from>
    <xdr:to>
      <xdr:col>10</xdr:col>
      <xdr:colOff>238125</xdr:colOff>
      <xdr:row>34</xdr:row>
      <xdr:rowOff>114300</xdr:rowOff>
    </xdr:to>
    <xdr:graphicFrame macro="">
      <xdr:nvGraphicFramePr>
        <xdr:cNvPr id="2" name="Graphique 6">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381000</xdr:colOff>
      <xdr:row>0</xdr:row>
      <xdr:rowOff>9525</xdr:rowOff>
    </xdr:from>
    <xdr:to>
      <xdr:col>3</xdr:col>
      <xdr:colOff>138113</xdr:colOff>
      <xdr:row>0</xdr:row>
      <xdr:rowOff>571500</xdr:rowOff>
    </xdr:to>
    <xdr:pic>
      <xdr:nvPicPr>
        <xdr:cNvPr id="4" name="Image 5" descr="C:\Users\Sellig Admin\AppData\Local\Microsoft\Windows\Temporary Internet Files\Content.IE5\7Y9IL7VO\MC900292470[1].wmf">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7550" y="190500"/>
          <a:ext cx="1085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47626</xdr:colOff>
      <xdr:row>20</xdr:row>
      <xdr:rowOff>-1</xdr:rowOff>
    </xdr:from>
    <xdr:to>
      <xdr:col>2</xdr:col>
      <xdr:colOff>1214438</xdr:colOff>
      <xdr:row>20</xdr:row>
      <xdr:rowOff>202406</xdr:rowOff>
    </xdr:to>
    <xdr:sp macro="" textlink="">
      <xdr:nvSpPr>
        <xdr:cNvPr id="6" name="ZoneTexte 5">
          <a:extLst>
            <a:ext uri="{FF2B5EF4-FFF2-40B4-BE49-F238E27FC236}">
              <a16:creationId xmlns:a16="http://schemas.microsoft.com/office/drawing/2014/main" id="{00000000-0008-0000-0000-000006000000}"/>
            </a:ext>
          </a:extLst>
        </xdr:cNvPr>
        <xdr:cNvSpPr txBox="1"/>
      </xdr:nvSpPr>
      <xdr:spPr>
        <a:xfrm>
          <a:off x="2583657" y="5119687"/>
          <a:ext cx="1166812" cy="20240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H" sz="1200"/>
            <a:t>date du jour</a:t>
          </a:r>
        </a:p>
      </xdr:txBody>
    </xdr:sp>
    <xdr:clientData/>
  </xdr:twoCellAnchor>
  <xdr:oneCellAnchor>
    <xdr:from>
      <xdr:col>2</xdr:col>
      <xdr:colOff>158019</xdr:colOff>
      <xdr:row>0</xdr:row>
      <xdr:rowOff>330350</xdr:rowOff>
    </xdr:from>
    <xdr:ext cx="2958182" cy="781111"/>
    <xdr:sp macro="" textlink="">
      <xdr:nvSpPr>
        <xdr:cNvPr id="7" name="Rectangle 6">
          <a:extLst>
            <a:ext uri="{FF2B5EF4-FFF2-40B4-BE49-F238E27FC236}">
              <a16:creationId xmlns:a16="http://schemas.microsoft.com/office/drawing/2014/main" id="{00000000-0008-0000-0000-000007000000}"/>
            </a:ext>
          </a:extLst>
        </xdr:cNvPr>
        <xdr:cNvSpPr/>
      </xdr:nvSpPr>
      <xdr:spPr>
        <a:xfrm rot="20800575">
          <a:off x="2694050" y="330350"/>
          <a:ext cx="2958182" cy="781111"/>
        </a:xfrm>
        <a:prstGeom prst="rect">
          <a:avLst/>
        </a:prstGeom>
        <a:noFill/>
      </xdr:spPr>
      <xdr:txBody>
        <a:bodyPr wrap="none" lIns="91440" tIns="45720" rIns="91440" bIns="45720">
          <a:spAutoFit/>
        </a:bodyPr>
        <a:lstStyle/>
        <a:p>
          <a:pPr algn="ctr"/>
          <a:r>
            <a:rPr lang="fr-FR" sz="4400" b="1" cap="none" spc="50">
              <a:ln w="9525" cmpd="sng">
                <a:solidFill>
                  <a:schemeClr val="accent1"/>
                </a:solidFill>
                <a:prstDash val="solid"/>
              </a:ln>
              <a:solidFill>
                <a:schemeClr val="tx2">
                  <a:lumMod val="75000"/>
                </a:schemeClr>
              </a:solidFill>
              <a:effectLst>
                <a:glow rad="38100">
                  <a:schemeClr val="accent1">
                    <a:alpha val="40000"/>
                  </a:schemeClr>
                </a:glow>
              </a:effectLst>
            </a:rPr>
            <a:t>Tennis Club</a:t>
          </a:r>
        </a:p>
      </xdr:txBody>
    </xdr:sp>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6"/>
  <sheetViews>
    <sheetView showGridLines="0" tabSelected="1" zoomScale="80" zoomScaleNormal="80" workbookViewId="0">
      <selection activeCell="S16" sqref="S16"/>
    </sheetView>
  </sheetViews>
  <sheetFormatPr baseColWidth="10" defaultRowHeight="14.25" x14ac:dyDescent="0.2"/>
  <cols>
    <col min="1" max="1" width="24.7109375" style="1" customWidth="1"/>
    <col min="2" max="2" width="13.42578125" style="1" customWidth="1"/>
    <col min="3" max="3" width="20" style="1" customWidth="1"/>
    <col min="4" max="4" width="11.85546875" style="1" customWidth="1"/>
    <col min="5" max="5" width="13" style="1" bestFit="1" customWidth="1"/>
    <col min="6" max="6" width="14.5703125" style="1" customWidth="1"/>
    <col min="7" max="7" width="13.42578125" style="1" customWidth="1"/>
    <col min="8" max="8" width="13.5703125" style="1" customWidth="1"/>
    <col min="9" max="9" width="12.85546875" style="1" customWidth="1"/>
    <col min="10" max="10" width="16.28515625" style="1" customWidth="1"/>
    <col min="11" max="11" width="5.42578125" style="1" customWidth="1"/>
    <col min="12" max="16384" width="11.42578125" style="1"/>
  </cols>
  <sheetData>
    <row r="1" spans="1:11" ht="54.75" customHeight="1" x14ac:dyDescent="0.4">
      <c r="A1" s="43"/>
      <c r="B1" s="43"/>
      <c r="C1" s="43"/>
      <c r="D1" s="43"/>
      <c r="E1" s="43"/>
      <c r="F1" s="43"/>
      <c r="G1" s="43"/>
    </row>
    <row r="2" spans="1:11" ht="15.75" x14ac:dyDescent="0.25">
      <c r="A2" s="2"/>
      <c r="B2" s="2"/>
      <c r="C2" s="2"/>
      <c r="D2" s="2"/>
      <c r="E2" s="2"/>
      <c r="F2" s="3" t="s">
        <v>48</v>
      </c>
      <c r="G2" s="32" t="s">
        <v>0</v>
      </c>
      <c r="H2" s="28">
        <v>20</v>
      </c>
      <c r="I2" s="2"/>
      <c r="J2" s="2"/>
      <c r="K2" s="2"/>
    </row>
    <row r="3" spans="1:11" ht="16.5" thickBot="1" x14ac:dyDescent="0.3">
      <c r="A3" s="2"/>
      <c r="B3" s="2"/>
      <c r="C3" s="2"/>
      <c r="D3" s="2"/>
      <c r="E3" s="2"/>
      <c r="F3" s="2"/>
      <c r="G3" s="32" t="s">
        <v>1</v>
      </c>
      <c r="H3" s="29">
        <v>80</v>
      </c>
      <c r="I3" s="2"/>
      <c r="J3" s="2"/>
      <c r="K3" s="2"/>
    </row>
    <row r="4" spans="1:11" ht="23.25" customHeight="1" thickBot="1" x14ac:dyDescent="0.3">
      <c r="A4" s="5" t="s">
        <v>47</v>
      </c>
      <c r="B4" s="42">
        <v>2018</v>
      </c>
      <c r="C4" s="2"/>
      <c r="D4" s="6"/>
      <c r="E4" s="2"/>
      <c r="F4" s="2"/>
      <c r="G4" s="32" t="s">
        <v>2</v>
      </c>
      <c r="H4" s="29">
        <v>120</v>
      </c>
      <c r="I4" s="2"/>
      <c r="J4" s="2"/>
      <c r="K4" s="2"/>
    </row>
    <row r="5" spans="1:11" ht="16.5" thickBot="1" x14ac:dyDescent="0.3">
      <c r="A5" s="7" t="s">
        <v>3</v>
      </c>
      <c r="B5" s="31">
        <v>250</v>
      </c>
      <c r="C5" s="2"/>
      <c r="D5" s="6"/>
      <c r="E5" s="8"/>
      <c r="H5" s="30"/>
      <c r="I5" s="2"/>
      <c r="J5" s="2"/>
      <c r="K5" s="2"/>
    </row>
    <row r="6" spans="1:11" ht="16.5" thickBot="1" x14ac:dyDescent="0.3">
      <c r="A6" s="9" t="s">
        <v>38</v>
      </c>
      <c r="B6" s="10">
        <v>0.33</v>
      </c>
      <c r="C6" s="2"/>
      <c r="D6" s="2"/>
      <c r="E6" s="2"/>
      <c r="F6" s="3" t="s">
        <v>49</v>
      </c>
      <c r="G6" s="4" t="s">
        <v>4</v>
      </c>
      <c r="H6" s="28">
        <v>35</v>
      </c>
      <c r="I6" s="2"/>
      <c r="J6" s="2"/>
      <c r="K6" s="2"/>
    </row>
    <row r="7" spans="1:11" ht="15" x14ac:dyDescent="0.2">
      <c r="A7" s="2"/>
      <c r="B7" s="2"/>
      <c r="C7" s="2"/>
      <c r="D7" s="2"/>
      <c r="E7" s="2"/>
      <c r="F7" s="2"/>
      <c r="G7" s="2"/>
      <c r="H7" s="2"/>
      <c r="I7" s="2"/>
      <c r="J7" s="2"/>
      <c r="K7" s="2"/>
    </row>
    <row r="8" spans="1:11" ht="15.75" x14ac:dyDescent="0.25">
      <c r="A8" s="2"/>
      <c r="B8" s="2"/>
      <c r="C8" s="11"/>
      <c r="D8" s="2"/>
      <c r="E8" s="2"/>
      <c r="F8" s="11"/>
      <c r="G8" s="11"/>
      <c r="H8" s="2"/>
      <c r="I8" s="11"/>
      <c r="J8" s="11"/>
      <c r="K8" s="2"/>
    </row>
    <row r="9" spans="1:11" s="16" customFormat="1" ht="47.25" x14ac:dyDescent="0.2">
      <c r="A9" s="18" t="s">
        <v>5</v>
      </c>
      <c r="B9" s="19" t="s">
        <v>6</v>
      </c>
      <c r="C9" s="20" t="s">
        <v>34</v>
      </c>
      <c r="D9" s="21" t="s">
        <v>7</v>
      </c>
      <c r="E9" s="21" t="s">
        <v>8</v>
      </c>
      <c r="F9" s="20" t="s">
        <v>35</v>
      </c>
      <c r="G9" s="20" t="s">
        <v>41</v>
      </c>
      <c r="H9" s="21" t="s">
        <v>9</v>
      </c>
      <c r="I9" s="20" t="s">
        <v>36</v>
      </c>
      <c r="J9" s="20" t="s">
        <v>37</v>
      </c>
      <c r="K9" s="17"/>
    </row>
    <row r="10" spans="1:11" ht="15" x14ac:dyDescent="0.2">
      <c r="A10" s="22" t="s">
        <v>10</v>
      </c>
      <c r="B10" s="22" t="s">
        <v>11</v>
      </c>
      <c r="C10" s="23">
        <v>1957</v>
      </c>
      <c r="D10" s="23" t="s">
        <v>12</v>
      </c>
      <c r="E10" s="40">
        <f t="shared" ref="E10:E19" si="0">$B$4-C10</f>
        <v>61</v>
      </c>
      <c r="F10" s="41">
        <f t="shared" ref="F10:F19" si="1">IF(E10&lt;16,$B$5+$H$2,IF(E10&lt;21,$B$5+$H$3,$B$5+$H$4))</f>
        <v>370</v>
      </c>
      <c r="G10" s="39">
        <f>IF(D10="OUI",F10*$B$6,0)</f>
        <v>0</v>
      </c>
      <c r="H10" s="41">
        <f>INT((F10-G10)*2+0.5)/2</f>
        <v>370</v>
      </c>
      <c r="I10" s="24">
        <v>0.85416666666666663</v>
      </c>
      <c r="J10" s="39">
        <f>I10*$H$6*24</f>
        <v>717.5</v>
      </c>
      <c r="K10" s="2"/>
    </row>
    <row r="11" spans="1:11" ht="15" x14ac:dyDescent="0.2">
      <c r="A11" s="22" t="s">
        <v>13</v>
      </c>
      <c r="B11" s="22" t="s">
        <v>14</v>
      </c>
      <c r="C11" s="23">
        <v>1995</v>
      </c>
      <c r="D11" s="23" t="s">
        <v>15</v>
      </c>
      <c r="E11" s="40">
        <f t="shared" si="0"/>
        <v>23</v>
      </c>
      <c r="F11" s="41">
        <f t="shared" si="1"/>
        <v>370</v>
      </c>
      <c r="G11" s="39">
        <f t="shared" ref="G11:G19" si="2">IF(D11="OUI",F11*$B$6,0)</f>
        <v>122.10000000000001</v>
      </c>
      <c r="H11" s="41">
        <f>INT((F11-G11)*2+0.5)/2</f>
        <v>248</v>
      </c>
      <c r="I11" s="24">
        <v>0</v>
      </c>
      <c r="J11" s="39">
        <f t="shared" ref="J11:J19" si="3">I11*$H$6*24</f>
        <v>0</v>
      </c>
      <c r="K11" s="2"/>
    </row>
    <row r="12" spans="1:11" ht="15" x14ac:dyDescent="0.2">
      <c r="A12" s="22" t="s">
        <v>16</v>
      </c>
      <c r="B12" s="22" t="s">
        <v>17</v>
      </c>
      <c r="C12" s="23">
        <v>1981</v>
      </c>
      <c r="D12" s="23" t="s">
        <v>12</v>
      </c>
      <c r="E12" s="40">
        <f t="shared" si="0"/>
        <v>37</v>
      </c>
      <c r="F12" s="41">
        <f t="shared" si="1"/>
        <v>370</v>
      </c>
      <c r="G12" s="39">
        <f t="shared" si="2"/>
        <v>0</v>
      </c>
      <c r="H12" s="41">
        <f t="shared" ref="H12:H19" si="4">INT((F12-G12)*2+0.5)/2</f>
        <v>370</v>
      </c>
      <c r="I12" s="24">
        <v>0.45833333333333331</v>
      </c>
      <c r="J12" s="39">
        <f t="shared" si="3"/>
        <v>384.99999999999994</v>
      </c>
      <c r="K12" s="2"/>
    </row>
    <row r="13" spans="1:11" ht="15" x14ac:dyDescent="0.2">
      <c r="A13" s="22" t="s">
        <v>18</v>
      </c>
      <c r="B13" s="22" t="s">
        <v>19</v>
      </c>
      <c r="C13" s="23">
        <v>1990</v>
      </c>
      <c r="D13" s="23" t="s">
        <v>15</v>
      </c>
      <c r="E13" s="40">
        <f t="shared" si="0"/>
        <v>28</v>
      </c>
      <c r="F13" s="41">
        <f t="shared" si="1"/>
        <v>370</v>
      </c>
      <c r="G13" s="39">
        <f t="shared" si="2"/>
        <v>122.10000000000001</v>
      </c>
      <c r="H13" s="41">
        <f t="shared" si="4"/>
        <v>248</v>
      </c>
      <c r="I13" s="24">
        <v>0.33333333333333331</v>
      </c>
      <c r="J13" s="39">
        <v>280</v>
      </c>
      <c r="K13" s="2"/>
    </row>
    <row r="14" spans="1:11" ht="15" x14ac:dyDescent="0.2">
      <c r="A14" s="22" t="s">
        <v>20</v>
      </c>
      <c r="B14" s="22" t="s">
        <v>21</v>
      </c>
      <c r="C14" s="23">
        <v>1989</v>
      </c>
      <c r="D14" s="23" t="s">
        <v>12</v>
      </c>
      <c r="E14" s="40">
        <f t="shared" si="0"/>
        <v>29</v>
      </c>
      <c r="F14" s="41">
        <f t="shared" si="1"/>
        <v>370</v>
      </c>
      <c r="G14" s="39">
        <f t="shared" si="2"/>
        <v>0</v>
      </c>
      <c r="H14" s="41">
        <f t="shared" si="4"/>
        <v>370</v>
      </c>
      <c r="I14" s="24">
        <v>0.125</v>
      </c>
      <c r="J14" s="39">
        <f t="shared" si="3"/>
        <v>105</v>
      </c>
      <c r="K14" s="2"/>
    </row>
    <row r="15" spans="1:11" ht="15" x14ac:dyDescent="0.2">
      <c r="A15" s="22" t="s">
        <v>22</v>
      </c>
      <c r="B15" s="22" t="s">
        <v>23</v>
      </c>
      <c r="C15" s="23">
        <v>1999</v>
      </c>
      <c r="D15" s="23" t="s">
        <v>15</v>
      </c>
      <c r="E15" s="40">
        <f t="shared" si="0"/>
        <v>19</v>
      </c>
      <c r="F15" s="41">
        <f t="shared" si="1"/>
        <v>330</v>
      </c>
      <c r="G15" s="39">
        <f t="shared" si="2"/>
        <v>108.9</v>
      </c>
      <c r="H15" s="41">
        <f t="shared" si="4"/>
        <v>221</v>
      </c>
      <c r="I15" s="24">
        <v>0</v>
      </c>
      <c r="J15" s="39">
        <f t="shared" si="3"/>
        <v>0</v>
      </c>
      <c r="K15" s="2"/>
    </row>
    <row r="16" spans="1:11" ht="15" x14ac:dyDescent="0.2">
      <c r="A16" s="22" t="s">
        <v>24</v>
      </c>
      <c r="B16" s="22" t="s">
        <v>25</v>
      </c>
      <c r="C16" s="23">
        <v>1988</v>
      </c>
      <c r="D16" s="23" t="s">
        <v>15</v>
      </c>
      <c r="E16" s="40">
        <f t="shared" si="0"/>
        <v>30</v>
      </c>
      <c r="F16" s="41">
        <f t="shared" si="1"/>
        <v>370</v>
      </c>
      <c r="G16" s="39">
        <f t="shared" si="2"/>
        <v>122.10000000000001</v>
      </c>
      <c r="H16" s="41">
        <f t="shared" si="4"/>
        <v>248</v>
      </c>
      <c r="I16" s="24">
        <v>0</v>
      </c>
      <c r="J16" s="39">
        <f t="shared" si="3"/>
        <v>0</v>
      </c>
      <c r="K16" s="2"/>
    </row>
    <row r="17" spans="1:11" ht="15" x14ac:dyDescent="0.2">
      <c r="A17" s="22" t="s">
        <v>26</v>
      </c>
      <c r="B17" s="22" t="s">
        <v>27</v>
      </c>
      <c r="C17" s="23">
        <v>2001</v>
      </c>
      <c r="D17" s="23" t="s">
        <v>15</v>
      </c>
      <c r="E17" s="40">
        <f t="shared" si="0"/>
        <v>17</v>
      </c>
      <c r="F17" s="41">
        <f t="shared" si="1"/>
        <v>330</v>
      </c>
      <c r="G17" s="39">
        <f t="shared" si="2"/>
        <v>108.9</v>
      </c>
      <c r="H17" s="41">
        <f t="shared" si="4"/>
        <v>221</v>
      </c>
      <c r="I17" s="24">
        <v>0.625</v>
      </c>
      <c r="J17" s="39">
        <f t="shared" si="3"/>
        <v>525</v>
      </c>
      <c r="K17" s="2"/>
    </row>
    <row r="18" spans="1:11" ht="15" x14ac:dyDescent="0.2">
      <c r="A18" s="22" t="s">
        <v>28</v>
      </c>
      <c r="B18" s="22" t="s">
        <v>29</v>
      </c>
      <c r="C18" s="23">
        <v>1967</v>
      </c>
      <c r="D18" s="23" t="s">
        <v>12</v>
      </c>
      <c r="E18" s="40">
        <f t="shared" si="0"/>
        <v>51</v>
      </c>
      <c r="F18" s="41">
        <f t="shared" si="1"/>
        <v>370</v>
      </c>
      <c r="G18" s="39">
        <f t="shared" si="2"/>
        <v>0</v>
      </c>
      <c r="H18" s="41">
        <f t="shared" si="4"/>
        <v>370</v>
      </c>
      <c r="I18" s="24">
        <v>0.91666666666666663</v>
      </c>
      <c r="J18" s="39">
        <f t="shared" si="3"/>
        <v>769.99999999999989</v>
      </c>
      <c r="K18" s="2"/>
    </row>
    <row r="19" spans="1:11" ht="15" x14ac:dyDescent="0.2">
      <c r="A19" s="22" t="s">
        <v>30</v>
      </c>
      <c r="B19" s="22" t="s">
        <v>31</v>
      </c>
      <c r="C19" s="23">
        <v>2002</v>
      </c>
      <c r="D19" s="23" t="s">
        <v>15</v>
      </c>
      <c r="E19" s="40">
        <f t="shared" si="0"/>
        <v>16</v>
      </c>
      <c r="F19" s="41">
        <f t="shared" si="1"/>
        <v>330</v>
      </c>
      <c r="G19" s="39">
        <f t="shared" si="2"/>
        <v>108.9</v>
      </c>
      <c r="H19" s="41">
        <f t="shared" si="4"/>
        <v>221</v>
      </c>
      <c r="I19" s="24">
        <v>0.125</v>
      </c>
      <c r="J19" s="39">
        <f t="shared" si="3"/>
        <v>105</v>
      </c>
      <c r="K19" s="2"/>
    </row>
    <row r="20" spans="1:11" ht="16.5" thickBot="1" x14ac:dyDescent="0.3">
      <c r="A20" s="12"/>
      <c r="B20" s="2"/>
      <c r="C20" s="2"/>
      <c r="D20" s="2"/>
      <c r="E20" s="2"/>
      <c r="F20" s="2"/>
      <c r="G20" s="2"/>
      <c r="H20" s="2"/>
      <c r="I20" s="2"/>
      <c r="J20" s="2"/>
      <c r="K20" s="2"/>
    </row>
    <row r="21" spans="1:11" ht="16.5" thickBot="1" x14ac:dyDescent="0.3">
      <c r="A21" s="26" t="s">
        <v>32</v>
      </c>
      <c r="B21" s="25"/>
      <c r="C21" s="34"/>
      <c r="D21" s="2"/>
      <c r="E21" s="13" t="s">
        <v>7</v>
      </c>
      <c r="F21" s="2"/>
      <c r="G21" s="2"/>
      <c r="H21" s="14" t="s">
        <v>33</v>
      </c>
      <c r="I21" s="38">
        <f>SUM(I10:I19)</f>
        <v>3.4374999999999996</v>
      </c>
      <c r="J21" s="35">
        <f>SUM(J10:J19)</f>
        <v>2887.5</v>
      </c>
      <c r="K21" s="2"/>
    </row>
    <row r="22" spans="1:11" ht="15.75" x14ac:dyDescent="0.25">
      <c r="A22" s="25" t="s">
        <v>42</v>
      </c>
      <c r="B22" s="25"/>
      <c r="C22" s="35">
        <f>SUM(H10:H19)</f>
        <v>2887</v>
      </c>
      <c r="D22" s="2"/>
      <c r="E22" s="15" t="s">
        <v>15</v>
      </c>
      <c r="F22" s="36">
        <f>COUNTIF(D10:D19,"OUI")</f>
        <v>6</v>
      </c>
      <c r="G22" s="37">
        <f>F22/SUM($F$22:$F$23)</f>
        <v>0.6</v>
      </c>
      <c r="H22" s="2"/>
      <c r="I22" s="2"/>
      <c r="J22" s="2"/>
      <c r="K22" s="2"/>
    </row>
    <row r="23" spans="1:11" ht="15.75" x14ac:dyDescent="0.25">
      <c r="A23" s="12"/>
      <c r="B23" s="2"/>
      <c r="C23" s="2"/>
      <c r="D23" s="2"/>
      <c r="E23" s="15" t="s">
        <v>12</v>
      </c>
      <c r="F23" s="36">
        <f>COUNTIF(D10:D19,"NON")</f>
        <v>4</v>
      </c>
      <c r="G23" s="37">
        <f>F23/SUM($F$22:$F$23)</f>
        <v>0.4</v>
      </c>
      <c r="H23" s="2"/>
      <c r="I23" s="2"/>
      <c r="J23" s="2"/>
      <c r="K23" s="2"/>
    </row>
    <row r="27" spans="1:11" ht="15.75" x14ac:dyDescent="0.25">
      <c r="A27" s="9" t="s">
        <v>50</v>
      </c>
    </row>
    <row r="28" spans="1:11" ht="15" x14ac:dyDescent="0.2">
      <c r="A28" s="2"/>
    </row>
    <row r="29" spans="1:11" ht="15" x14ac:dyDescent="0.2">
      <c r="A29" s="2" t="s">
        <v>40</v>
      </c>
    </row>
    <row r="30" spans="1:11" ht="15" x14ac:dyDescent="0.2">
      <c r="A30" s="2"/>
    </row>
    <row r="31" spans="1:11" ht="15" x14ac:dyDescent="0.2">
      <c r="A31" s="2" t="s">
        <v>52</v>
      </c>
    </row>
    <row r="32" spans="1:11" ht="15" x14ac:dyDescent="0.2">
      <c r="A32" s="2"/>
    </row>
    <row r="33" spans="1:10" ht="15" x14ac:dyDescent="0.2">
      <c r="A33" s="2" t="s">
        <v>43</v>
      </c>
    </row>
    <row r="34" spans="1:10" ht="15" x14ac:dyDescent="0.2">
      <c r="A34" s="2"/>
    </row>
    <row r="35" spans="1:10" ht="15" x14ac:dyDescent="0.2">
      <c r="A35" s="2" t="s">
        <v>44</v>
      </c>
    </row>
    <row r="36" spans="1:10" ht="15" x14ac:dyDescent="0.2">
      <c r="A36" s="2"/>
    </row>
    <row r="37" spans="1:10" ht="15" x14ac:dyDescent="0.2">
      <c r="A37" s="2" t="s">
        <v>51</v>
      </c>
    </row>
    <row r="38" spans="1:10" ht="15" x14ac:dyDescent="0.2">
      <c r="A38" s="2"/>
    </row>
    <row r="39" spans="1:10" ht="15" x14ac:dyDescent="0.2">
      <c r="A39" s="2" t="s">
        <v>45</v>
      </c>
    </row>
    <row r="40" spans="1:10" ht="15" x14ac:dyDescent="0.2">
      <c r="A40" s="2"/>
    </row>
    <row r="41" spans="1:10" ht="15" x14ac:dyDescent="0.2">
      <c r="A41" s="33" t="s">
        <v>53</v>
      </c>
      <c r="B41" s="27"/>
      <c r="C41" s="27"/>
      <c r="D41" s="27"/>
      <c r="E41" s="27"/>
      <c r="F41" s="27"/>
      <c r="G41" s="27"/>
      <c r="H41" s="27"/>
      <c r="I41" s="27"/>
      <c r="J41" s="27"/>
    </row>
    <row r="42" spans="1:10" ht="15" x14ac:dyDescent="0.2">
      <c r="A42" s="33"/>
      <c r="B42" s="27"/>
      <c r="C42" s="27"/>
      <c r="D42" s="27"/>
      <c r="E42" s="27"/>
      <c r="F42" s="27"/>
      <c r="G42" s="27"/>
      <c r="H42" s="27"/>
      <c r="I42" s="27"/>
      <c r="J42" s="27"/>
    </row>
    <row r="43" spans="1:10" ht="15" x14ac:dyDescent="0.2">
      <c r="A43" s="33" t="s">
        <v>39</v>
      </c>
      <c r="B43" s="27"/>
      <c r="C43" s="27"/>
      <c r="D43" s="27"/>
      <c r="E43" s="27"/>
      <c r="F43" s="27"/>
      <c r="G43" s="27"/>
      <c r="H43" s="27"/>
      <c r="I43" s="27"/>
      <c r="J43" s="27"/>
    </row>
    <row r="44" spans="1:10" s="27" customFormat="1" ht="15.75" x14ac:dyDescent="0.25">
      <c r="A44" s="33" t="s">
        <v>46</v>
      </c>
    </row>
    <row r="45" spans="1:10" ht="15" x14ac:dyDescent="0.2">
      <c r="A45" s="44"/>
      <c r="B45" s="44"/>
      <c r="C45" s="44"/>
      <c r="D45" s="44"/>
      <c r="E45" s="44"/>
      <c r="F45" s="44"/>
      <c r="G45" s="44"/>
      <c r="H45" s="44"/>
      <c r="I45" s="44"/>
      <c r="J45" s="44"/>
    </row>
    <row r="46" spans="1:10" ht="30" customHeight="1" x14ac:dyDescent="0.2">
      <c r="A46" s="45" t="s">
        <v>54</v>
      </c>
      <c r="B46" s="45"/>
      <c r="C46" s="45"/>
      <c r="D46" s="45"/>
      <c r="E46" s="45"/>
      <c r="F46" s="45"/>
      <c r="G46" s="45"/>
      <c r="H46" s="45"/>
      <c r="I46" s="45"/>
      <c r="J46" s="45"/>
    </row>
  </sheetData>
  <mergeCells count="3">
    <mergeCell ref="A1:G1"/>
    <mergeCell ref="A45:J45"/>
    <mergeCell ref="A46:J46"/>
  </mergeCells>
  <printOptions horizontalCentered="1" headings="1"/>
  <pageMargins left="0.78740157480314965" right="0.70866141732283472" top="0.51181102362204722" bottom="0.43307086614173229" header="0.31496062992125984" footer="0.19685039370078741"/>
  <pageSetup paperSize="9" scale="64" orientation="landscape" r:id="rId1"/>
  <headerFooter alignWithMargins="0">
    <oddHeader>&amp;L&amp;"Arial,Gras"&amp;14EXCEL&amp;R&amp;"Arial,Gras"&amp;14EXERCICE TENNIS CLUB</oddHeader>
    <oddFooter>&amp;CTennis Club</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Tennis Club</vt:lpstr>
      <vt:lpstr>'Tennis Club'!Zone_d_impression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Gilles</dc:creator>
  <cp:lastModifiedBy>Michèle Grosset-Bovier</cp:lastModifiedBy>
  <cp:lastPrinted>2021-02-06T16:57:58Z</cp:lastPrinted>
  <dcterms:created xsi:type="dcterms:W3CDTF">2015-02-01T14:36:26Z</dcterms:created>
  <dcterms:modified xsi:type="dcterms:W3CDTF">2021-02-06T16:58:00Z</dcterms:modified>
</cp:coreProperties>
</file>