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0000000 - 2021-2022- Support de cours\2e année\2e, ICA-I\2e, I - finaux\Sem. 1\"/>
    </mc:Choice>
  </mc:AlternateContent>
  <xr:revisionPtr revIDLastSave="0" documentId="13_ncr:1_{069B0442-4331-4A26-A532-AA0FD5F8D01E}" xr6:coauthVersionLast="36" xr6:coauthVersionMax="36" xr10:uidLastSave="{00000000-0000-0000-0000-000000000000}"/>
  <bookViews>
    <workbookView xWindow="-15" yWindow="45" windowWidth="15315" windowHeight="9045" xr2:uid="{00000000-000D-0000-FFFF-FFFF00000000}"/>
  </bookViews>
  <sheets>
    <sheet name="Données" sheetId="2" r:id="rId1"/>
    <sheet name="Formules" sheetId="3" r:id="rId2"/>
  </sheets>
  <definedNames>
    <definedName name="_xlnm._FilterDatabase" localSheetId="0" hidden="1">Données!$A$3:$F$38</definedName>
    <definedName name="_xlnm._FilterDatabase" localSheetId="1" hidden="1">Formules!$A$3:$F$38</definedName>
    <definedName name="_xlnm.Print_Titles" localSheetId="0">Données!$3:$3</definedName>
    <definedName name="_xlnm.Print_Titles" localSheetId="1">Formules!$3:$3</definedName>
    <definedName name="TABLEAU" localSheetId="1">Formules!$A$3:$F$38</definedName>
    <definedName name="TABLEAU">Données!$A$3:$F$38</definedName>
    <definedName name="Z_39261354_05C8_476B_9275_080665CCC612_.wvu.Cols" localSheetId="0" hidden="1">Données!$C:$D,Données!$E:$E</definedName>
    <definedName name="Z_39261354_05C8_476B_9275_080665CCC612_.wvu.Cols" localSheetId="1" hidden="1">Formules!$C:$D,Formules!$E:$E</definedName>
    <definedName name="Z_39261354_05C8_476B_9275_080665CCC612_.wvu.FilterData" localSheetId="0" hidden="1">Données!$A$3:$F$38</definedName>
    <definedName name="Z_39261354_05C8_476B_9275_080665CCC612_.wvu.FilterData" localSheetId="1" hidden="1">Formules!$A$3:$F$38</definedName>
    <definedName name="Z_39261354_05C8_476B_9275_080665CCC612_.wvu.PrintArea" localSheetId="0" hidden="1">Données!$A$3:$F$38</definedName>
    <definedName name="Z_39261354_05C8_476B_9275_080665CCC612_.wvu.PrintArea" localSheetId="1" hidden="1">Formules!$A$3:$F$38</definedName>
    <definedName name="Z_39261354_05C8_476B_9275_080665CCC612_.wvu.PrintTitles" localSheetId="0" hidden="1">Données!$3:$3</definedName>
    <definedName name="Z_39261354_05C8_476B_9275_080665CCC612_.wvu.PrintTitles" localSheetId="1" hidden="1">Formules!$3:$3</definedName>
    <definedName name="Z_441CE0C3_09FB_4B36_AC95_39D593DC9A2A_.wvu.FilterData" localSheetId="0" hidden="1">Données!$A$3:$F$38</definedName>
    <definedName name="Z_441CE0C3_09FB_4B36_AC95_39D593DC9A2A_.wvu.FilterData" localSheetId="1" hidden="1">Formules!$A$3:$F$38</definedName>
    <definedName name="Z_5284CE4A_C1D5_443A_9A12_E4F4DC7F8F4A_.wvu.FilterData" localSheetId="0" hidden="1">Données!$A$3:$F$38</definedName>
    <definedName name="Z_5284CE4A_C1D5_443A_9A12_E4F4DC7F8F4A_.wvu.FilterData" localSheetId="1" hidden="1">Formules!$A$3:$F$38</definedName>
    <definedName name="Z_C8626E61_5578_40E3_978F_19B33C1EED2E_.wvu.Cols" localSheetId="0" hidden="1">Données!$C:$G,Données!#REF!</definedName>
    <definedName name="Z_C8626E61_5578_40E3_978F_19B33C1EED2E_.wvu.Cols" localSheetId="1" hidden="1">Formules!$C:$G,Formules!#REF!</definedName>
    <definedName name="Z_C8626E61_5578_40E3_978F_19B33C1EED2E_.wvu.FilterData" localSheetId="0" hidden="1">Données!$A$3:$F$38</definedName>
    <definedName name="Z_C8626E61_5578_40E3_978F_19B33C1EED2E_.wvu.FilterData" localSheetId="1" hidden="1">Formules!$A$3:$F$38</definedName>
    <definedName name="Z_C8626E61_5578_40E3_978F_19B33C1EED2E_.wvu.PrintArea" localSheetId="0" hidden="1">Données!$A$3:$H$38</definedName>
    <definedName name="Z_C8626E61_5578_40E3_978F_19B33C1EED2E_.wvu.PrintArea" localSheetId="1" hidden="1">Formules!$A$3:$H$38</definedName>
    <definedName name="Z_C8626E61_5578_40E3_978F_19B33C1EED2E_.wvu.PrintTitles" localSheetId="0" hidden="1">Données!$3:$3</definedName>
    <definedName name="Z_C8626E61_5578_40E3_978F_19B33C1EED2E_.wvu.PrintTitles" localSheetId="1" hidden="1">Formules!$3:$3</definedName>
    <definedName name="_xlnm.Print_Area" localSheetId="0">Données!$A$3:$F$38</definedName>
    <definedName name="_xlnm.Print_Area" localSheetId="1">Formules!$G$3:$J$43</definedName>
  </definedNames>
  <calcPr calcId="191029"/>
  <customWorkbookViews>
    <customWorkbookView name="V RABAIS" guid="{C8626E61-5578-40E3-978F-19B33C1EED2E}" maximized="1" windowWidth="1020" windowHeight="565" activeSheetId="2"/>
    <customWorkbookView name="V DATE REGION" guid="{39261354-05C8-476B-9275-080665CCC612}" maximized="1" windowWidth="1020" windowHeight="605" activeSheetId="2"/>
    <customWorkbookView name="V BASE" guid="{441CE0C3-09FB-4B36-AC95-39D593DC9A2A}" maximized="1" windowWidth="1020" windowHeight="605" activeSheetId="2"/>
  </customWorkbookViews>
</workbook>
</file>

<file path=xl/calcChain.xml><?xml version="1.0" encoding="utf-8"?>
<calcChain xmlns="http://schemas.openxmlformats.org/spreadsheetml/2006/main">
  <c r="J38" i="3" l="1"/>
  <c r="I38" i="3"/>
  <c r="H38" i="3"/>
  <c r="G38" i="3"/>
  <c r="J37" i="3"/>
  <c r="I37" i="3"/>
  <c r="H37" i="3"/>
  <c r="G37" i="3"/>
  <c r="J36" i="3"/>
  <c r="I36" i="3"/>
  <c r="H36" i="3"/>
  <c r="G36" i="3"/>
  <c r="J35" i="3"/>
  <c r="I35" i="3"/>
  <c r="H35" i="3"/>
  <c r="G35" i="3"/>
  <c r="J34" i="3"/>
  <c r="I34" i="3"/>
  <c r="H34" i="3"/>
  <c r="G34" i="3"/>
  <c r="J33" i="3"/>
  <c r="I33" i="3"/>
  <c r="H33" i="3"/>
  <c r="G33" i="3"/>
  <c r="J32" i="3"/>
  <c r="I32" i="3"/>
  <c r="H32" i="3"/>
  <c r="G32" i="3"/>
  <c r="J31" i="3"/>
  <c r="I31" i="3"/>
  <c r="H31" i="3"/>
  <c r="G31" i="3"/>
  <c r="J30" i="3"/>
  <c r="I30" i="3"/>
  <c r="H30" i="3"/>
  <c r="G30" i="3"/>
  <c r="J29" i="3"/>
  <c r="I29" i="3"/>
  <c r="H29" i="3"/>
  <c r="G29" i="3"/>
  <c r="J28" i="3"/>
  <c r="I28" i="3"/>
  <c r="H28" i="3"/>
  <c r="G28" i="3"/>
  <c r="J27" i="3"/>
  <c r="I27" i="3"/>
  <c r="H27" i="3"/>
  <c r="G27" i="3"/>
  <c r="J26" i="3"/>
  <c r="I26" i="3"/>
  <c r="H26" i="3"/>
  <c r="G26" i="3"/>
  <c r="J25" i="3"/>
  <c r="I25" i="3"/>
  <c r="H25" i="3"/>
  <c r="G25" i="3"/>
  <c r="J24" i="3"/>
  <c r="I24" i="3"/>
  <c r="H24" i="3"/>
  <c r="G24" i="3"/>
  <c r="J23" i="3"/>
  <c r="I23" i="3"/>
  <c r="H23" i="3"/>
  <c r="G23" i="3"/>
  <c r="J22" i="3"/>
  <c r="I22" i="3"/>
  <c r="H22" i="3"/>
  <c r="G22" i="3"/>
  <c r="J21" i="3"/>
  <c r="I21" i="3"/>
  <c r="H21" i="3"/>
  <c r="G21" i="3"/>
  <c r="J20" i="3"/>
  <c r="I20" i="3"/>
  <c r="H20" i="3"/>
  <c r="G20" i="3"/>
  <c r="J19" i="3"/>
  <c r="I19" i="3"/>
  <c r="H19" i="3"/>
  <c r="G19" i="3"/>
  <c r="J18" i="3"/>
  <c r="I18" i="3"/>
  <c r="H18" i="3"/>
  <c r="G18" i="3"/>
  <c r="J17" i="3"/>
  <c r="I17" i="3"/>
  <c r="H17" i="3"/>
  <c r="G17" i="3"/>
  <c r="J16" i="3"/>
  <c r="I16" i="3"/>
  <c r="H16" i="3"/>
  <c r="G16" i="3"/>
  <c r="J15" i="3"/>
  <c r="I15" i="3"/>
  <c r="H15" i="3"/>
  <c r="G15" i="3"/>
  <c r="J14" i="3"/>
  <c r="I14" i="3"/>
  <c r="H14" i="3"/>
  <c r="G14" i="3"/>
  <c r="J13" i="3"/>
  <c r="I13" i="3"/>
  <c r="H13" i="3"/>
  <c r="G13" i="3"/>
  <c r="J12" i="3"/>
  <c r="I12" i="3"/>
  <c r="H12" i="3"/>
  <c r="G12" i="3"/>
  <c r="J11" i="3"/>
  <c r="I11" i="3"/>
  <c r="H11" i="3"/>
  <c r="G11" i="3"/>
  <c r="J10" i="3"/>
  <c r="I10" i="3"/>
  <c r="H10" i="3"/>
  <c r="G10" i="3"/>
  <c r="J9" i="3"/>
  <c r="I9" i="3"/>
  <c r="H9" i="3"/>
  <c r="G9" i="3"/>
  <c r="J8" i="3"/>
  <c r="I8" i="3"/>
  <c r="H8" i="3"/>
  <c r="G8" i="3"/>
  <c r="J7" i="3"/>
  <c r="I7" i="3"/>
  <c r="H7" i="3"/>
  <c r="G7" i="3"/>
  <c r="J6" i="3"/>
  <c r="I6" i="3"/>
  <c r="H6" i="3"/>
  <c r="G6" i="3"/>
  <c r="H43" i="3"/>
  <c r="J5" i="3"/>
  <c r="I5" i="3"/>
  <c r="H5" i="3"/>
  <c r="G5" i="3"/>
  <c r="H42" i="3"/>
  <c r="J4" i="3"/>
  <c r="I4" i="3"/>
  <c r="H4" i="3"/>
  <c r="G4" i="3"/>
  <c r="I5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4" i="2"/>
  <c r="H11" i="2" l="1"/>
  <c r="H5" i="2"/>
  <c r="H14" i="2"/>
  <c r="H28" i="2"/>
  <c r="H25" i="2"/>
  <c r="H37" i="2"/>
  <c r="H15" i="2"/>
  <c r="H6" i="2"/>
  <c r="H21" i="2"/>
  <c r="H26" i="2"/>
  <c r="H17" i="2"/>
  <c r="H9" i="2"/>
  <c r="H23" i="2"/>
  <c r="H31" i="2"/>
  <c r="H22" i="2"/>
  <c r="H35" i="2"/>
  <c r="H34" i="2"/>
  <c r="H33" i="2"/>
  <c r="H38" i="2"/>
  <c r="H7" i="2"/>
  <c r="H10" i="2"/>
  <c r="H24" i="2"/>
  <c r="H4" i="2"/>
  <c r="H13" i="2"/>
  <c r="H18" i="2"/>
  <c r="H12" i="2"/>
  <c r="H16" i="2"/>
  <c r="H29" i="2"/>
  <c r="H32" i="2"/>
  <c r="H8" i="2"/>
  <c r="H27" i="2"/>
  <c r="H19" i="2"/>
  <c r="H30" i="2"/>
  <c r="H36" i="2"/>
  <c r="H20" i="2"/>
  <c r="G11" i="2"/>
  <c r="G5" i="2"/>
  <c r="G14" i="2"/>
  <c r="G28" i="2"/>
  <c r="G25" i="2"/>
  <c r="G37" i="2"/>
  <c r="G15" i="2"/>
  <c r="G6" i="2"/>
  <c r="G21" i="2"/>
  <c r="G26" i="2"/>
  <c r="G17" i="2"/>
  <c r="G9" i="2"/>
  <c r="G23" i="2"/>
  <c r="G31" i="2"/>
  <c r="G22" i="2"/>
  <c r="G35" i="2"/>
  <c r="G34" i="2"/>
  <c r="G33" i="2"/>
  <c r="G38" i="2"/>
  <c r="G7" i="2"/>
  <c r="G10" i="2"/>
  <c r="G24" i="2"/>
  <c r="G4" i="2"/>
  <c r="G13" i="2"/>
  <c r="G18" i="2"/>
  <c r="G12" i="2"/>
  <c r="G16" i="2"/>
  <c r="G29" i="2"/>
  <c r="G32" i="2"/>
  <c r="G8" i="2"/>
  <c r="G27" i="2"/>
  <c r="G19" i="2"/>
  <c r="G30" i="2"/>
  <c r="G36" i="2"/>
  <c r="G20" i="2"/>
  <c r="N5" i="2"/>
  <c r="N4" i="2"/>
</calcChain>
</file>

<file path=xl/sharedStrings.xml><?xml version="1.0" encoding="utf-8"?>
<sst xmlns="http://schemas.openxmlformats.org/spreadsheetml/2006/main" count="382" uniqueCount="92">
  <si>
    <t>NOM</t>
  </si>
  <si>
    <t>PRENOM</t>
  </si>
  <si>
    <t>GENRE</t>
  </si>
  <si>
    <t>M</t>
  </si>
  <si>
    <t>F</t>
  </si>
  <si>
    <t>Frédéric</t>
  </si>
  <si>
    <t>KERTZEL</t>
  </si>
  <si>
    <t>Micheline</t>
  </si>
  <si>
    <t>GIRAUDY</t>
  </si>
  <si>
    <t>Louis</t>
  </si>
  <si>
    <t>HANDELSMAN</t>
  </si>
  <si>
    <t>Xavier</t>
  </si>
  <si>
    <t>Alain</t>
  </si>
  <si>
    <t>Yves</t>
  </si>
  <si>
    <t>Martine</t>
  </si>
  <si>
    <t>FAVROT</t>
  </si>
  <si>
    <t>Malvina</t>
  </si>
  <si>
    <t>Jean-Pierre</t>
  </si>
  <si>
    <t>Bernard</t>
  </si>
  <si>
    <t>André</t>
  </si>
  <si>
    <t>Jean</t>
  </si>
  <si>
    <t>DACOSTA</t>
  </si>
  <si>
    <t>VELMONDO</t>
  </si>
  <si>
    <t>Francis</t>
  </si>
  <si>
    <t>Anne</t>
  </si>
  <si>
    <t>Sylvie</t>
  </si>
  <si>
    <t>Jean-Louis</t>
  </si>
  <si>
    <t>Simone</t>
  </si>
  <si>
    <t>Paule</t>
  </si>
  <si>
    <t>Charles</t>
  </si>
  <si>
    <t>Marie</t>
  </si>
  <si>
    <t>Bruno</t>
  </si>
  <si>
    <t>BLANIC</t>
  </si>
  <si>
    <t>MORINEAU</t>
  </si>
  <si>
    <t>Jean-Michel</t>
  </si>
  <si>
    <t>BLONCHARD</t>
  </si>
  <si>
    <t>VILLIN</t>
  </si>
  <si>
    <t>PECHON</t>
  </si>
  <si>
    <t>TRINEAUDEAU</t>
  </si>
  <si>
    <t>Antony</t>
  </si>
  <si>
    <t>SIRLIS</t>
  </si>
  <si>
    <t>Yvette</t>
  </si>
  <si>
    <t>GABORIAN</t>
  </si>
  <si>
    <t>Hubert</t>
  </si>
  <si>
    <t>CIBORNE</t>
  </si>
  <si>
    <t>FRIOLET</t>
  </si>
  <si>
    <t>PROUGET</t>
  </si>
  <si>
    <t>Hervé</t>
  </si>
  <si>
    <t>HERRY</t>
  </si>
  <si>
    <t>GERMAYER</t>
  </si>
  <si>
    <t>UBERTET</t>
  </si>
  <si>
    <t>Sidonie</t>
  </si>
  <si>
    <t>THIBALD</t>
  </si>
  <si>
    <t>DIMERNEZ</t>
  </si>
  <si>
    <t>LEQUESNE</t>
  </si>
  <si>
    <t>CHAUDOT</t>
  </si>
  <si>
    <t>SIRTOT</t>
  </si>
  <si>
    <t>CARON</t>
  </si>
  <si>
    <t>Cécile</t>
  </si>
  <si>
    <t>CAPREUX</t>
  </si>
  <si>
    <t>ROMERO</t>
  </si>
  <si>
    <t>BRAZIGNAC</t>
  </si>
  <si>
    <t>Irène</t>
  </si>
  <si>
    <t>BEILLOUX</t>
  </si>
  <si>
    <t>PREVIGNES</t>
  </si>
  <si>
    <t>RAPP</t>
  </si>
  <si>
    <t>Solange</t>
  </si>
  <si>
    <t>LAVALLEE</t>
  </si>
  <si>
    <t>ROUCLA</t>
  </si>
  <si>
    <t>LANGLADE</t>
  </si>
  <si>
    <t>COTISATION</t>
  </si>
  <si>
    <t>REGION</t>
  </si>
  <si>
    <t>Ouest</t>
  </si>
  <si>
    <t>Sud-Ouest</t>
  </si>
  <si>
    <t>Sud-Est</t>
  </si>
  <si>
    <t>Nord</t>
  </si>
  <si>
    <t>Est</t>
  </si>
  <si>
    <t>Etranger</t>
  </si>
  <si>
    <t>SPECIALITE</t>
  </si>
  <si>
    <t>AAM - Association des Amis du Modélisme</t>
  </si>
  <si>
    <t>Trains</t>
  </si>
  <si>
    <t>Avions</t>
  </si>
  <si>
    <t>Voitures</t>
  </si>
  <si>
    <t>Figurines</t>
  </si>
  <si>
    <t>Bateaux</t>
  </si>
  <si>
    <t>REMARQUE</t>
  </si>
  <si>
    <t>qu. 1</t>
  </si>
  <si>
    <t>qu. 2</t>
  </si>
  <si>
    <t>version 1</t>
  </si>
  <si>
    <t>version 2</t>
  </si>
  <si>
    <t>version 3</t>
  </si>
  <si>
    <t>REMISE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</si>
</sst>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sz val="12"/>
      <name val="Permanents"/>
    </font>
    <font>
      <b/>
      <i/>
      <sz val="26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" fontId="2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" fontId="2" fillId="0" borderId="0" xfId="0" applyNumberFormat="1" applyFont="1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4" fontId="1" fillId="0" borderId="0" xfId="0" applyNumberFormat="1" applyFont="1"/>
    <xf numFmtId="0" fontId="1" fillId="0" borderId="0" xfId="0" applyFont="1" applyAlignment="1">
      <alignment horizontal="center"/>
    </xf>
    <xf numFmtId="0" fontId="1" fillId="2" borderId="0" xfId="0" applyFont="1" applyFill="1"/>
    <xf numFmtId="4" fontId="1" fillId="2" borderId="0" xfId="0" applyNumberFormat="1" applyFont="1" applyFill="1"/>
    <xf numFmtId="0" fontId="1" fillId="2" borderId="0" xfId="0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2" fontId="1" fillId="0" borderId="0" xfId="0" applyNumberFormat="1" applyFont="1"/>
    <xf numFmtId="0" fontId="2" fillId="0" borderId="0" xfId="0" applyFont="1" applyFill="1" applyAlignment="1">
      <alignment horizontal="center"/>
    </xf>
    <xf numFmtId="1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>
    <pageSetUpPr autoPageBreaks="0"/>
  </sheetPr>
  <dimension ref="A1:N38"/>
  <sheetViews>
    <sheetView tabSelected="1" zoomScale="85" zoomScaleNormal="110" workbookViewId="0">
      <selection activeCell="K9" sqref="K9"/>
    </sheetView>
  </sheetViews>
  <sheetFormatPr baseColWidth="10" defaultRowHeight="15"/>
  <cols>
    <col min="1" max="1" width="35.28515625" style="6" customWidth="1"/>
    <col min="2" max="2" width="19.5703125" style="6" customWidth="1"/>
    <col min="3" max="3" width="13.28515625" style="6" customWidth="1"/>
    <col min="4" max="4" width="20.85546875" style="14" customWidth="1"/>
    <col min="5" max="5" width="18.140625" style="6" customWidth="1"/>
    <col min="6" max="6" width="18.42578125" style="1" customWidth="1"/>
    <col min="7" max="7" width="20.28515625" style="1" customWidth="1"/>
    <col min="8" max="9" width="17.42578125" style="1" customWidth="1"/>
    <col min="10" max="10" width="13.28515625" style="1" customWidth="1"/>
    <col min="11" max="11" width="12.42578125" style="1" bestFit="1" customWidth="1"/>
    <col min="12" max="16384" width="11.42578125" style="1"/>
  </cols>
  <sheetData>
    <row r="1" spans="1:14" ht="33">
      <c r="A1" s="16" t="s">
        <v>79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4">
      <c r="H2" s="9" t="s">
        <v>88</v>
      </c>
      <c r="I2" s="9" t="s">
        <v>89</v>
      </c>
      <c r="J2" s="9" t="s">
        <v>90</v>
      </c>
      <c r="K2" s="9"/>
    </row>
    <row r="3" spans="1:14" ht="15.75">
      <c r="A3" s="2" t="s">
        <v>0</v>
      </c>
      <c r="B3" s="2" t="s">
        <v>1</v>
      </c>
      <c r="C3" s="2" t="s">
        <v>2</v>
      </c>
      <c r="D3" s="3" t="s">
        <v>70</v>
      </c>
      <c r="E3" s="2" t="s">
        <v>78</v>
      </c>
      <c r="F3" s="4" t="s">
        <v>71</v>
      </c>
      <c r="G3" s="4" t="s">
        <v>85</v>
      </c>
      <c r="H3" s="4" t="s">
        <v>91</v>
      </c>
      <c r="I3" s="4" t="s">
        <v>91</v>
      </c>
      <c r="J3" s="4" t="s">
        <v>91</v>
      </c>
    </row>
    <row r="4" spans="1:14" ht="15.75">
      <c r="A4" s="5" t="s">
        <v>63</v>
      </c>
      <c r="B4" s="6" t="s">
        <v>27</v>
      </c>
      <c r="C4" s="7" t="s">
        <v>4</v>
      </c>
      <c r="D4" s="8">
        <v>5336</v>
      </c>
      <c r="E4" s="7" t="s">
        <v>82</v>
      </c>
      <c r="F4" s="9" t="s">
        <v>76</v>
      </c>
      <c r="G4" s="10" t="str">
        <f t="shared" ref="G4:G38" si="0">IF(OR(F4="Nord",F4="Est",F4="Ouest"),"A convoquer"," ")</f>
        <v>A convoquer</v>
      </c>
      <c r="H4" s="11">
        <f t="shared" ref="H4:H38" si="1">IF(AND(C4="M",OR(F4="EST",F4="Sud"),E4="Voitures"),30%*D4,0)</f>
        <v>0</v>
      </c>
      <c r="I4" s="11">
        <f>IF(AND(C4="M",E4="Voitures",OR(F4="EST",F4="Sud")),30%*D4,0)</f>
        <v>0</v>
      </c>
      <c r="J4" s="11">
        <f>IF(OR(AND(C4="M",F4="Est",E4="Voitures"),AND(C4="M",F4="Sud",E4="Voitures")),D4*30%,0)</f>
        <v>0</v>
      </c>
      <c r="M4" s="15" t="s">
        <v>86</v>
      </c>
      <c r="N4" s="12" t="str">
        <f>IF(AND(E4="Trains",C4="F"),"OUI","NON")</f>
        <v>NON</v>
      </c>
    </row>
    <row r="5" spans="1:14" ht="15.75">
      <c r="A5" s="5" t="s">
        <v>32</v>
      </c>
      <c r="B5" s="6" t="s">
        <v>31</v>
      </c>
      <c r="C5" s="7" t="s">
        <v>3</v>
      </c>
      <c r="D5" s="8">
        <v>3730</v>
      </c>
      <c r="E5" s="7" t="s">
        <v>81</v>
      </c>
      <c r="F5" s="9" t="s">
        <v>76</v>
      </c>
      <c r="G5" s="10" t="str">
        <f t="shared" si="0"/>
        <v>A convoquer</v>
      </c>
      <c r="H5" s="11">
        <f t="shared" si="1"/>
        <v>0</v>
      </c>
      <c r="I5" s="11">
        <f t="shared" ref="I5:I38" si="2">IF(AND(C5="M",E5="Voitures",OR(F5="EST",F5="Sud")),30%*D5,0)</f>
        <v>0</v>
      </c>
      <c r="J5" s="11">
        <f t="shared" ref="J5:J38" si="3">IF(OR(AND(C5="M",F5="Est",E5="Voitures"),AND(C5="M",F5="Sud",E5="Voitures")),D5*30%,0)</f>
        <v>0</v>
      </c>
      <c r="M5" s="15" t="s">
        <v>87</v>
      </c>
      <c r="N5" s="12" t="str">
        <f>IF(OR(B5="serge",C5="M",E5="Trains"),"OUI","NON")</f>
        <v>OUI</v>
      </c>
    </row>
    <row r="6" spans="1:14" ht="15.75">
      <c r="A6" s="5" t="s">
        <v>35</v>
      </c>
      <c r="B6" s="6" t="s">
        <v>12</v>
      </c>
      <c r="C6" s="7" t="s">
        <v>3</v>
      </c>
      <c r="D6" s="8">
        <v>4284</v>
      </c>
      <c r="E6" s="7" t="s">
        <v>81</v>
      </c>
      <c r="F6" s="9" t="s">
        <v>74</v>
      </c>
      <c r="G6" s="10" t="str">
        <f t="shared" si="0"/>
        <v xml:space="preserve"> </v>
      </c>
      <c r="H6" s="11">
        <f t="shared" si="1"/>
        <v>0</v>
      </c>
      <c r="I6" s="11">
        <f t="shared" si="2"/>
        <v>0</v>
      </c>
      <c r="J6" s="11">
        <f t="shared" si="3"/>
        <v>0</v>
      </c>
    </row>
    <row r="7" spans="1:14" ht="15.75">
      <c r="A7" s="5" t="s">
        <v>61</v>
      </c>
      <c r="B7" s="6" t="s">
        <v>62</v>
      </c>
      <c r="C7" s="7" t="s">
        <v>4</v>
      </c>
      <c r="D7" s="8">
        <v>645</v>
      </c>
      <c r="E7" s="7" t="s">
        <v>82</v>
      </c>
      <c r="F7" s="9" t="s">
        <v>76</v>
      </c>
      <c r="G7" s="10" t="str">
        <f t="shared" si="0"/>
        <v>A convoquer</v>
      </c>
      <c r="H7" s="11">
        <f t="shared" si="1"/>
        <v>0</v>
      </c>
      <c r="I7" s="11">
        <f t="shared" si="2"/>
        <v>0</v>
      </c>
      <c r="J7" s="11">
        <f t="shared" si="3"/>
        <v>0</v>
      </c>
    </row>
    <row r="8" spans="1:14" ht="15.75">
      <c r="A8" s="5" t="s">
        <v>59</v>
      </c>
      <c r="B8" s="6" t="s">
        <v>43</v>
      </c>
      <c r="C8" s="7" t="s">
        <v>3</v>
      </c>
      <c r="D8" s="8">
        <v>2623</v>
      </c>
      <c r="E8" s="7" t="s">
        <v>82</v>
      </c>
      <c r="F8" s="9" t="s">
        <v>76</v>
      </c>
      <c r="G8" s="10" t="str">
        <f t="shared" si="0"/>
        <v>A convoquer</v>
      </c>
      <c r="H8" s="11">
        <f t="shared" si="1"/>
        <v>786.9</v>
      </c>
      <c r="I8" s="11">
        <f t="shared" si="2"/>
        <v>786.9</v>
      </c>
      <c r="J8" s="11">
        <f t="shared" si="3"/>
        <v>786.9</v>
      </c>
    </row>
    <row r="9" spans="1:14" ht="15.75">
      <c r="A9" s="5" t="s">
        <v>57</v>
      </c>
      <c r="B9" s="6" t="s">
        <v>58</v>
      </c>
      <c r="C9" s="7" t="s">
        <v>4</v>
      </c>
      <c r="D9" s="8">
        <v>4787</v>
      </c>
      <c r="E9" s="7" t="s">
        <v>82</v>
      </c>
      <c r="F9" s="9" t="s">
        <v>73</v>
      </c>
      <c r="G9" s="10" t="str">
        <f t="shared" si="0"/>
        <v xml:space="preserve"> </v>
      </c>
      <c r="H9" s="11">
        <f t="shared" si="1"/>
        <v>0</v>
      </c>
      <c r="I9" s="11">
        <f t="shared" si="2"/>
        <v>0</v>
      </c>
      <c r="J9" s="11">
        <f t="shared" si="3"/>
        <v>0</v>
      </c>
    </row>
    <row r="10" spans="1:14" ht="15.75">
      <c r="A10" s="5" t="s">
        <v>55</v>
      </c>
      <c r="B10" s="6" t="s">
        <v>11</v>
      </c>
      <c r="C10" s="7" t="s">
        <v>3</v>
      </c>
      <c r="D10" s="8">
        <v>1773</v>
      </c>
      <c r="E10" s="7" t="s">
        <v>81</v>
      </c>
      <c r="F10" s="9" t="s">
        <v>72</v>
      </c>
      <c r="G10" s="10" t="str">
        <f t="shared" si="0"/>
        <v>A convoquer</v>
      </c>
      <c r="H10" s="11">
        <f t="shared" si="1"/>
        <v>0</v>
      </c>
      <c r="I10" s="11">
        <f t="shared" si="2"/>
        <v>0</v>
      </c>
      <c r="J10" s="11">
        <f t="shared" si="3"/>
        <v>0</v>
      </c>
    </row>
    <row r="11" spans="1:14" ht="15.75">
      <c r="A11" s="5" t="s">
        <v>44</v>
      </c>
      <c r="B11" s="6" t="s">
        <v>34</v>
      </c>
      <c r="C11" s="7" t="s">
        <v>3</v>
      </c>
      <c r="D11" s="8">
        <v>2164</v>
      </c>
      <c r="E11" s="7" t="s">
        <v>81</v>
      </c>
      <c r="F11" s="9" t="s">
        <v>75</v>
      </c>
      <c r="G11" s="10" t="str">
        <f t="shared" si="0"/>
        <v>A convoquer</v>
      </c>
      <c r="H11" s="11">
        <f t="shared" si="1"/>
        <v>0</v>
      </c>
      <c r="I11" s="11">
        <f t="shared" si="2"/>
        <v>0</v>
      </c>
      <c r="J11" s="11">
        <f t="shared" si="3"/>
        <v>0</v>
      </c>
    </row>
    <row r="12" spans="1:14" ht="15.75">
      <c r="A12" s="5" t="s">
        <v>21</v>
      </c>
      <c r="B12" s="6" t="s">
        <v>17</v>
      </c>
      <c r="C12" s="7" t="s">
        <v>3</v>
      </c>
      <c r="D12" s="8">
        <v>1277</v>
      </c>
      <c r="E12" s="7" t="s">
        <v>80</v>
      </c>
      <c r="F12" s="9" t="s">
        <v>76</v>
      </c>
      <c r="G12" s="10" t="str">
        <f t="shared" si="0"/>
        <v>A convoquer</v>
      </c>
      <c r="H12" s="11">
        <f t="shared" si="1"/>
        <v>0</v>
      </c>
      <c r="I12" s="11">
        <f t="shared" si="2"/>
        <v>0</v>
      </c>
      <c r="J12" s="11">
        <f t="shared" si="3"/>
        <v>0</v>
      </c>
    </row>
    <row r="13" spans="1:14" ht="15.75">
      <c r="A13" s="5" t="s">
        <v>53</v>
      </c>
      <c r="B13" s="6" t="s">
        <v>19</v>
      </c>
      <c r="C13" s="7" t="s">
        <v>3</v>
      </c>
      <c r="D13" s="8">
        <v>3400</v>
      </c>
      <c r="E13" s="7" t="s">
        <v>82</v>
      </c>
      <c r="F13" s="9" t="s">
        <v>76</v>
      </c>
      <c r="G13" s="10" t="str">
        <f t="shared" si="0"/>
        <v>A convoquer</v>
      </c>
      <c r="H13" s="11">
        <f t="shared" si="1"/>
        <v>1020</v>
      </c>
      <c r="I13" s="11">
        <f t="shared" si="2"/>
        <v>1020</v>
      </c>
      <c r="J13" s="11">
        <f t="shared" si="3"/>
        <v>1020</v>
      </c>
    </row>
    <row r="14" spans="1:14" ht="15.75">
      <c r="A14" s="5" t="s">
        <v>15</v>
      </c>
      <c r="B14" s="6" t="s">
        <v>16</v>
      </c>
      <c r="C14" s="7" t="s">
        <v>4</v>
      </c>
      <c r="D14" s="8">
        <v>4625</v>
      </c>
      <c r="E14" s="7" t="s">
        <v>81</v>
      </c>
      <c r="F14" s="9" t="s">
        <v>75</v>
      </c>
      <c r="G14" s="10" t="str">
        <f t="shared" si="0"/>
        <v>A convoquer</v>
      </c>
      <c r="H14" s="11">
        <f t="shared" si="1"/>
        <v>0</v>
      </c>
      <c r="I14" s="11">
        <f t="shared" si="2"/>
        <v>0</v>
      </c>
      <c r="J14" s="11">
        <f t="shared" si="3"/>
        <v>0</v>
      </c>
    </row>
    <row r="15" spans="1:14" ht="15.75">
      <c r="A15" s="5" t="s">
        <v>45</v>
      </c>
      <c r="B15" s="6" t="s">
        <v>18</v>
      </c>
      <c r="C15" s="7" t="s">
        <v>3</v>
      </c>
      <c r="D15" s="8">
        <v>2032</v>
      </c>
      <c r="E15" s="7" t="s">
        <v>82</v>
      </c>
      <c r="F15" s="9" t="s">
        <v>76</v>
      </c>
      <c r="G15" s="10" t="str">
        <f t="shared" si="0"/>
        <v>A convoquer</v>
      </c>
      <c r="H15" s="11">
        <f t="shared" si="1"/>
        <v>609.6</v>
      </c>
      <c r="I15" s="11">
        <f t="shared" si="2"/>
        <v>609.6</v>
      </c>
      <c r="J15" s="11">
        <f t="shared" si="3"/>
        <v>609.6</v>
      </c>
    </row>
    <row r="16" spans="1:14" ht="15.75">
      <c r="A16" s="5" t="s">
        <v>42</v>
      </c>
      <c r="B16" s="6" t="s">
        <v>18</v>
      </c>
      <c r="C16" s="7" t="s">
        <v>3</v>
      </c>
      <c r="D16" s="8">
        <v>4921</v>
      </c>
      <c r="E16" s="7" t="s">
        <v>80</v>
      </c>
      <c r="F16" s="9" t="s">
        <v>76</v>
      </c>
      <c r="G16" s="10" t="str">
        <f t="shared" si="0"/>
        <v>A convoquer</v>
      </c>
      <c r="H16" s="11">
        <f t="shared" si="1"/>
        <v>0</v>
      </c>
      <c r="I16" s="11">
        <f t="shared" si="2"/>
        <v>0</v>
      </c>
      <c r="J16" s="11">
        <f t="shared" si="3"/>
        <v>0</v>
      </c>
    </row>
    <row r="17" spans="1:10" ht="15.75">
      <c r="A17" s="5" t="s">
        <v>49</v>
      </c>
      <c r="B17" s="6" t="s">
        <v>39</v>
      </c>
      <c r="C17" s="7" t="s">
        <v>3</v>
      </c>
      <c r="D17" s="8">
        <v>2020</v>
      </c>
      <c r="E17" s="7" t="s">
        <v>82</v>
      </c>
      <c r="F17" s="9" t="s">
        <v>76</v>
      </c>
      <c r="G17" s="10" t="str">
        <f t="shared" si="0"/>
        <v>A convoquer</v>
      </c>
      <c r="H17" s="11">
        <f t="shared" si="1"/>
        <v>606</v>
      </c>
      <c r="I17" s="11">
        <f t="shared" si="2"/>
        <v>606</v>
      </c>
      <c r="J17" s="11">
        <f t="shared" si="3"/>
        <v>606</v>
      </c>
    </row>
    <row r="18" spans="1:10" ht="15.75">
      <c r="A18" s="5" t="s">
        <v>8</v>
      </c>
      <c r="B18" s="6" t="s">
        <v>9</v>
      </c>
      <c r="C18" s="7" t="s">
        <v>3</v>
      </c>
      <c r="D18" s="8">
        <v>3417</v>
      </c>
      <c r="E18" s="7" t="s">
        <v>82</v>
      </c>
      <c r="F18" s="9" t="s">
        <v>76</v>
      </c>
      <c r="G18" s="10" t="str">
        <f t="shared" si="0"/>
        <v>A convoquer</v>
      </c>
      <c r="H18" s="11">
        <f t="shared" si="1"/>
        <v>1025.0999999999999</v>
      </c>
      <c r="I18" s="11">
        <f t="shared" si="2"/>
        <v>1025.0999999999999</v>
      </c>
      <c r="J18" s="11">
        <f t="shared" si="3"/>
        <v>1025.0999999999999</v>
      </c>
    </row>
    <row r="19" spans="1:10" ht="15.75">
      <c r="A19" s="5" t="s">
        <v>10</v>
      </c>
      <c r="B19" s="6" t="s">
        <v>11</v>
      </c>
      <c r="C19" s="7" t="s">
        <v>3</v>
      </c>
      <c r="D19" s="8">
        <v>4812</v>
      </c>
      <c r="E19" s="7" t="s">
        <v>81</v>
      </c>
      <c r="F19" s="13" t="s">
        <v>77</v>
      </c>
      <c r="G19" s="10" t="str">
        <f t="shared" si="0"/>
        <v xml:space="preserve"> </v>
      </c>
      <c r="H19" s="11">
        <f t="shared" si="1"/>
        <v>0</v>
      </c>
      <c r="I19" s="11">
        <f t="shared" si="2"/>
        <v>0</v>
      </c>
      <c r="J19" s="11">
        <f t="shared" si="3"/>
        <v>0</v>
      </c>
    </row>
    <row r="20" spans="1:10" ht="15.75">
      <c r="A20" s="5" t="s">
        <v>48</v>
      </c>
      <c r="B20" s="6" t="s">
        <v>47</v>
      </c>
      <c r="C20" s="7" t="s">
        <v>3</v>
      </c>
      <c r="D20" s="8">
        <v>5221</v>
      </c>
      <c r="E20" s="7" t="s">
        <v>84</v>
      </c>
      <c r="F20" s="9" t="s">
        <v>76</v>
      </c>
      <c r="G20" s="10" t="str">
        <f t="shared" si="0"/>
        <v>A convoquer</v>
      </c>
      <c r="H20" s="11">
        <f t="shared" si="1"/>
        <v>0</v>
      </c>
      <c r="I20" s="11">
        <f t="shared" si="2"/>
        <v>0</v>
      </c>
      <c r="J20" s="11">
        <f t="shared" si="3"/>
        <v>0</v>
      </c>
    </row>
    <row r="21" spans="1:10" ht="15.75">
      <c r="A21" s="5" t="s">
        <v>6</v>
      </c>
      <c r="B21" s="6" t="s">
        <v>14</v>
      </c>
      <c r="C21" s="7" t="s">
        <v>4</v>
      </c>
      <c r="D21" s="8">
        <v>2981</v>
      </c>
      <c r="E21" s="7" t="s">
        <v>83</v>
      </c>
      <c r="F21" s="9" t="s">
        <v>74</v>
      </c>
      <c r="G21" s="10" t="str">
        <f t="shared" si="0"/>
        <v xml:space="preserve"> </v>
      </c>
      <c r="H21" s="11">
        <f t="shared" si="1"/>
        <v>0</v>
      </c>
      <c r="I21" s="11">
        <f t="shared" si="2"/>
        <v>0</v>
      </c>
      <c r="J21" s="11">
        <f t="shared" si="3"/>
        <v>0</v>
      </c>
    </row>
    <row r="22" spans="1:10" ht="15.75">
      <c r="A22" s="5" t="s">
        <v>69</v>
      </c>
      <c r="B22" s="6" t="s">
        <v>41</v>
      </c>
      <c r="C22" s="7" t="s">
        <v>4</v>
      </c>
      <c r="D22" s="8">
        <v>1364</v>
      </c>
      <c r="E22" s="7" t="s">
        <v>81</v>
      </c>
      <c r="F22" s="9" t="s">
        <v>73</v>
      </c>
      <c r="G22" s="10" t="str">
        <f t="shared" si="0"/>
        <v xml:space="preserve"> </v>
      </c>
      <c r="H22" s="11">
        <f t="shared" si="1"/>
        <v>0</v>
      </c>
      <c r="I22" s="11">
        <f t="shared" si="2"/>
        <v>0</v>
      </c>
      <c r="J22" s="11">
        <f t="shared" si="3"/>
        <v>0</v>
      </c>
    </row>
    <row r="23" spans="1:10" ht="15.75">
      <c r="A23" s="5" t="s">
        <v>67</v>
      </c>
      <c r="B23" s="6" t="s">
        <v>20</v>
      </c>
      <c r="C23" s="7" t="s">
        <v>3</v>
      </c>
      <c r="D23" s="8">
        <v>3875</v>
      </c>
      <c r="E23" s="7" t="s">
        <v>80</v>
      </c>
      <c r="F23" s="9" t="s">
        <v>73</v>
      </c>
      <c r="G23" s="10" t="str">
        <f t="shared" si="0"/>
        <v xml:space="preserve"> </v>
      </c>
      <c r="H23" s="11">
        <f t="shared" si="1"/>
        <v>0</v>
      </c>
      <c r="I23" s="11">
        <f t="shared" si="2"/>
        <v>0</v>
      </c>
      <c r="J23" s="11">
        <f t="shared" si="3"/>
        <v>0</v>
      </c>
    </row>
    <row r="24" spans="1:10" ht="15.75">
      <c r="A24" s="5" t="s">
        <v>54</v>
      </c>
      <c r="B24" s="6" t="s">
        <v>29</v>
      </c>
      <c r="C24" s="7" t="s">
        <v>3</v>
      </c>
      <c r="D24" s="8">
        <v>4245</v>
      </c>
      <c r="E24" s="7" t="s">
        <v>82</v>
      </c>
      <c r="F24" s="9" t="s">
        <v>72</v>
      </c>
      <c r="G24" s="10" t="str">
        <f t="shared" si="0"/>
        <v>A convoquer</v>
      </c>
      <c r="H24" s="11">
        <f t="shared" si="1"/>
        <v>0</v>
      </c>
      <c r="I24" s="11">
        <f t="shared" si="2"/>
        <v>0</v>
      </c>
      <c r="J24" s="11">
        <f t="shared" si="3"/>
        <v>0</v>
      </c>
    </row>
    <row r="25" spans="1:10" ht="15.75">
      <c r="A25" s="5" t="s">
        <v>33</v>
      </c>
      <c r="B25" s="6" t="s">
        <v>29</v>
      </c>
      <c r="C25" s="7" t="s">
        <v>3</v>
      </c>
      <c r="D25" s="8">
        <v>2475</v>
      </c>
      <c r="E25" s="7" t="s">
        <v>81</v>
      </c>
      <c r="F25" s="9" t="s">
        <v>76</v>
      </c>
      <c r="G25" s="10" t="str">
        <f t="shared" si="0"/>
        <v>A convoquer</v>
      </c>
      <c r="H25" s="11">
        <f t="shared" si="1"/>
        <v>0</v>
      </c>
      <c r="I25" s="11">
        <f t="shared" si="2"/>
        <v>0</v>
      </c>
      <c r="J25" s="11">
        <f t="shared" si="3"/>
        <v>0</v>
      </c>
    </row>
    <row r="26" spans="1:10" ht="15.75">
      <c r="A26" s="5" t="s">
        <v>37</v>
      </c>
      <c r="B26" s="6" t="s">
        <v>24</v>
      </c>
      <c r="C26" s="7" t="s">
        <v>4</v>
      </c>
      <c r="D26" s="8">
        <v>2873</v>
      </c>
      <c r="E26" s="7" t="s">
        <v>83</v>
      </c>
      <c r="F26" s="9" t="s">
        <v>74</v>
      </c>
      <c r="G26" s="10" t="str">
        <f t="shared" si="0"/>
        <v xml:space="preserve"> </v>
      </c>
      <c r="H26" s="11">
        <f t="shared" si="1"/>
        <v>0</v>
      </c>
      <c r="I26" s="11">
        <f t="shared" si="2"/>
        <v>0</v>
      </c>
      <c r="J26" s="11">
        <f t="shared" si="3"/>
        <v>0</v>
      </c>
    </row>
    <row r="27" spans="1:10" ht="15.75">
      <c r="A27" s="5" t="s">
        <v>64</v>
      </c>
      <c r="B27" s="6" t="s">
        <v>7</v>
      </c>
      <c r="C27" s="7" t="s">
        <v>4</v>
      </c>
      <c r="D27" s="8">
        <v>5391</v>
      </c>
      <c r="E27" s="7" t="s">
        <v>82</v>
      </c>
      <c r="F27" s="13" t="s">
        <v>77</v>
      </c>
      <c r="G27" s="10" t="str">
        <f t="shared" si="0"/>
        <v xml:space="preserve"> </v>
      </c>
      <c r="H27" s="11">
        <f t="shared" si="1"/>
        <v>0</v>
      </c>
      <c r="I27" s="11">
        <f t="shared" si="2"/>
        <v>0</v>
      </c>
      <c r="J27" s="11">
        <f t="shared" si="3"/>
        <v>0</v>
      </c>
    </row>
    <row r="28" spans="1:10" ht="15.75">
      <c r="A28" s="5" t="s">
        <v>46</v>
      </c>
      <c r="B28" s="6" t="s">
        <v>5</v>
      </c>
      <c r="C28" s="7" t="s">
        <v>3</v>
      </c>
      <c r="D28" s="8">
        <v>4501</v>
      </c>
      <c r="E28" s="7" t="s">
        <v>82</v>
      </c>
      <c r="F28" s="9" t="s">
        <v>76</v>
      </c>
      <c r="G28" s="10" t="str">
        <f t="shared" si="0"/>
        <v>A convoquer</v>
      </c>
      <c r="H28" s="11">
        <f t="shared" si="1"/>
        <v>1350.3</v>
      </c>
      <c r="I28" s="11">
        <f t="shared" si="2"/>
        <v>1350.3</v>
      </c>
      <c r="J28" s="11">
        <f t="shared" si="3"/>
        <v>1350.3</v>
      </c>
    </row>
    <row r="29" spans="1:10" ht="15.75">
      <c r="A29" s="5" t="s">
        <v>65</v>
      </c>
      <c r="B29" s="6" t="s">
        <v>66</v>
      </c>
      <c r="C29" s="7" t="s">
        <v>4</v>
      </c>
      <c r="D29" s="8">
        <v>514</v>
      </c>
      <c r="E29" s="7" t="s">
        <v>82</v>
      </c>
      <c r="F29" s="9" t="s">
        <v>76</v>
      </c>
      <c r="G29" s="10" t="str">
        <f t="shared" si="0"/>
        <v>A convoquer</v>
      </c>
      <c r="H29" s="11">
        <f t="shared" si="1"/>
        <v>0</v>
      </c>
      <c r="I29" s="11">
        <f t="shared" si="2"/>
        <v>0</v>
      </c>
      <c r="J29" s="11">
        <f t="shared" si="3"/>
        <v>0</v>
      </c>
    </row>
    <row r="30" spans="1:10" ht="15.75">
      <c r="A30" s="5" t="s">
        <v>60</v>
      </c>
      <c r="B30" s="6" t="s">
        <v>19</v>
      </c>
      <c r="C30" s="7" t="s">
        <v>3</v>
      </c>
      <c r="D30" s="8">
        <v>5473</v>
      </c>
      <c r="E30" s="7" t="s">
        <v>81</v>
      </c>
      <c r="F30" s="13" t="s">
        <v>77</v>
      </c>
      <c r="G30" s="10" t="str">
        <f t="shared" si="0"/>
        <v xml:space="preserve"> </v>
      </c>
      <c r="H30" s="11">
        <f t="shared" si="1"/>
        <v>0</v>
      </c>
      <c r="I30" s="11">
        <f t="shared" si="2"/>
        <v>0</v>
      </c>
      <c r="J30" s="11">
        <f t="shared" si="3"/>
        <v>0</v>
      </c>
    </row>
    <row r="31" spans="1:10" ht="15.75">
      <c r="A31" s="5" t="s">
        <v>68</v>
      </c>
      <c r="B31" s="6" t="s">
        <v>9</v>
      </c>
      <c r="C31" s="7" t="s">
        <v>3</v>
      </c>
      <c r="D31" s="8">
        <v>612</v>
      </c>
      <c r="E31" s="7" t="s">
        <v>82</v>
      </c>
      <c r="F31" s="9" t="s">
        <v>76</v>
      </c>
      <c r="G31" s="10" t="str">
        <f t="shared" si="0"/>
        <v>A convoquer</v>
      </c>
      <c r="H31" s="11">
        <f t="shared" si="1"/>
        <v>183.6</v>
      </c>
      <c r="I31" s="11">
        <f t="shared" si="2"/>
        <v>183.6</v>
      </c>
      <c r="J31" s="11">
        <f t="shared" si="3"/>
        <v>183.6</v>
      </c>
    </row>
    <row r="32" spans="1:10" ht="15.75">
      <c r="A32" s="5" t="s">
        <v>40</v>
      </c>
      <c r="B32" s="6" t="s">
        <v>30</v>
      </c>
      <c r="C32" s="7" t="s">
        <v>4</v>
      </c>
      <c r="D32" s="8">
        <v>4460</v>
      </c>
      <c r="E32" s="7" t="s">
        <v>80</v>
      </c>
      <c r="F32" s="9" t="s">
        <v>76</v>
      </c>
      <c r="G32" s="10" t="str">
        <f t="shared" si="0"/>
        <v>A convoquer</v>
      </c>
      <c r="H32" s="11">
        <f t="shared" si="1"/>
        <v>0</v>
      </c>
      <c r="I32" s="11">
        <f t="shared" si="2"/>
        <v>0</v>
      </c>
      <c r="J32" s="11">
        <f t="shared" si="3"/>
        <v>0</v>
      </c>
    </row>
    <row r="33" spans="1:10" ht="15.75">
      <c r="A33" s="5" t="s">
        <v>56</v>
      </c>
      <c r="B33" s="6" t="s">
        <v>28</v>
      </c>
      <c r="C33" s="7" t="s">
        <v>4</v>
      </c>
      <c r="D33" s="8">
        <v>4198</v>
      </c>
      <c r="E33" s="7" t="s">
        <v>84</v>
      </c>
      <c r="F33" s="9" t="s">
        <v>76</v>
      </c>
      <c r="G33" s="10" t="str">
        <f t="shared" si="0"/>
        <v>A convoquer</v>
      </c>
      <c r="H33" s="11">
        <f t="shared" si="1"/>
        <v>0</v>
      </c>
      <c r="I33" s="11">
        <f t="shared" si="2"/>
        <v>0</v>
      </c>
      <c r="J33" s="11">
        <f t="shared" si="3"/>
        <v>0</v>
      </c>
    </row>
    <row r="34" spans="1:10" ht="15.75">
      <c r="A34" s="5" t="s">
        <v>52</v>
      </c>
      <c r="B34" s="6" t="s">
        <v>25</v>
      </c>
      <c r="C34" s="7" t="s">
        <v>4</v>
      </c>
      <c r="D34" s="8">
        <v>5133</v>
      </c>
      <c r="E34" s="7" t="s">
        <v>82</v>
      </c>
      <c r="F34" s="9" t="s">
        <v>76</v>
      </c>
      <c r="G34" s="10" t="str">
        <f t="shared" si="0"/>
        <v>A convoquer</v>
      </c>
      <c r="H34" s="11">
        <f t="shared" si="1"/>
        <v>0</v>
      </c>
      <c r="I34" s="11">
        <f t="shared" si="2"/>
        <v>0</v>
      </c>
      <c r="J34" s="11">
        <f t="shared" si="3"/>
        <v>0</v>
      </c>
    </row>
    <row r="35" spans="1:10" ht="15.75">
      <c r="A35" s="5" t="s">
        <v>38</v>
      </c>
      <c r="B35" s="6" t="s">
        <v>13</v>
      </c>
      <c r="C35" s="7" t="s">
        <v>3</v>
      </c>
      <c r="D35" s="8">
        <v>2145</v>
      </c>
      <c r="E35" s="7" t="s">
        <v>84</v>
      </c>
      <c r="F35" s="9" t="s">
        <v>73</v>
      </c>
      <c r="G35" s="10" t="str">
        <f t="shared" si="0"/>
        <v xml:space="preserve"> </v>
      </c>
      <c r="H35" s="11">
        <f t="shared" si="1"/>
        <v>0</v>
      </c>
      <c r="I35" s="11">
        <f t="shared" si="2"/>
        <v>0</v>
      </c>
      <c r="J35" s="11">
        <f t="shared" si="3"/>
        <v>0</v>
      </c>
    </row>
    <row r="36" spans="1:10" ht="15.75">
      <c r="A36" s="5" t="s">
        <v>50</v>
      </c>
      <c r="B36" s="6" t="s">
        <v>51</v>
      </c>
      <c r="C36" s="7" t="s">
        <v>4</v>
      </c>
      <c r="D36" s="8">
        <v>5290</v>
      </c>
      <c r="E36" s="7" t="s">
        <v>83</v>
      </c>
      <c r="F36" s="13" t="s">
        <v>77</v>
      </c>
      <c r="G36" s="10" t="str">
        <f t="shared" si="0"/>
        <v xml:space="preserve"> </v>
      </c>
      <c r="H36" s="11">
        <f t="shared" si="1"/>
        <v>0</v>
      </c>
      <c r="I36" s="11">
        <f t="shared" si="2"/>
        <v>0</v>
      </c>
      <c r="J36" s="11">
        <f t="shared" si="3"/>
        <v>0</v>
      </c>
    </row>
    <row r="37" spans="1:10" ht="15.75">
      <c r="A37" s="5" t="s">
        <v>22</v>
      </c>
      <c r="B37" s="6" t="s">
        <v>23</v>
      </c>
      <c r="C37" s="7" t="s">
        <v>3</v>
      </c>
      <c r="D37" s="8">
        <v>4132</v>
      </c>
      <c r="E37" s="7" t="s">
        <v>80</v>
      </c>
      <c r="F37" s="9" t="s">
        <v>76</v>
      </c>
      <c r="G37" s="10" t="str">
        <f t="shared" si="0"/>
        <v>A convoquer</v>
      </c>
      <c r="H37" s="11">
        <f t="shared" si="1"/>
        <v>0</v>
      </c>
      <c r="I37" s="11">
        <f t="shared" si="2"/>
        <v>0</v>
      </c>
      <c r="J37" s="11">
        <f t="shared" si="3"/>
        <v>0</v>
      </c>
    </row>
    <row r="38" spans="1:10" ht="15.75">
      <c r="A38" s="5" t="s">
        <v>36</v>
      </c>
      <c r="B38" s="6" t="s">
        <v>26</v>
      </c>
      <c r="C38" s="7" t="s">
        <v>3</v>
      </c>
      <c r="D38" s="8">
        <v>5331</v>
      </c>
      <c r="E38" s="7" t="s">
        <v>82</v>
      </c>
      <c r="F38" s="9" t="s">
        <v>76</v>
      </c>
      <c r="G38" s="10" t="str">
        <f t="shared" si="0"/>
        <v>A convoquer</v>
      </c>
      <c r="H38" s="11">
        <f t="shared" si="1"/>
        <v>1599.3</v>
      </c>
      <c r="I38" s="11">
        <f t="shared" si="2"/>
        <v>1599.3</v>
      </c>
      <c r="J38" s="11">
        <f t="shared" si="3"/>
        <v>1599.3</v>
      </c>
    </row>
  </sheetData>
  <sortState ref="A4:H38">
    <sortCondition ref="A4:A38"/>
  </sortState>
  <dataConsolidate/>
  <customSheetViews>
    <customSheetView guid="{C8626E61-5578-40E3-978F-19B33C1EED2E}" scale="85" showGridLines="0" printArea="1" filter="1" showAutoFilter="1" hiddenColumns="1" showRuler="0">
      <pane ySplit="8" topLeftCell="A10" activePane="bottomLeft" state="frozenSplit"/>
      <selection pane="bottomLeft" activeCell="B15" sqref="B15"/>
      <pageMargins left="0.78740157480314965" right="0.78740157480314965" top="0.98425196850393704" bottom="0.98425196850393704" header="0.51181102362204722" footer="0.51181102362204722"/>
      <printOptions horizontalCentered="1"/>
      <pageSetup paperSize="9" scale="90" orientation="portrait" r:id="rId1"/>
      <headerFooter alignWithMargins="0">
        <oddHeader>&amp;CHommes qui font des trains ou des voitures</oddHeader>
        <oddFooter>&amp;RGilles Terreaux, &amp;D</oddFooter>
      </headerFooter>
      <autoFilter ref="B1:I1" xr:uid="{00000000-0000-0000-0000-000000000000}">
        <filterColumn colId="2">
          <filters>
            <filter val="M"/>
          </filters>
        </filterColumn>
        <filterColumn colId="6">
          <filters>
            <filter val="Trains"/>
            <filter val="Voitures"/>
          </filters>
        </filterColumn>
      </autoFilter>
    </customSheetView>
    <customSheetView guid="{39261354-05C8-476B-9275-080665CCC612}" scale="85" showGridLines="0" printArea="1" showAutoFilter="1" hiddenColumns="1" showRuler="0">
      <pane ySplit="8" topLeftCell="A9" activePane="bottomLeft" state="frozenSplit"/>
      <selection pane="bottomLeft" activeCell="F12" sqref="F12"/>
      <pageMargins left="0.78740157480314965" right="0.78740157480314965" top="0.98425196850393704" bottom="0.98425196850393704" header="0.51181102362204722" footer="0.51181102362204722"/>
      <printOptions horizontalCentered="1"/>
      <pageSetup paperSize="9" scale="90" orientation="portrait" r:id="rId2"/>
      <headerFooter alignWithMargins="0">
        <oddHeader>&amp;CListe des membres par dates et régions</oddHeader>
        <oddFooter>&amp;RGilles Terreaux, &amp;D</oddFooter>
      </headerFooter>
      <autoFilter ref="B1:I1" xr:uid="{00000000-0000-0000-0000-000000000000}"/>
    </customSheetView>
    <customSheetView guid="{441CE0C3-09FB-4B36-AC95-39D593DC9A2A}" scale="85" showGridLines="0" showAutoFilter="1" showRuler="0">
      <pane ySplit="8" topLeftCell="A9" activePane="bottomLeft" state="frozenSplit"/>
      <selection pane="bottomLeft"/>
      <pageMargins left="0.78740157499999996" right="0.78740157499999996" top="0.984251969" bottom="0.984251969" header="0.4921259845" footer="0.4921259845"/>
      <pageSetup paperSize="9" scale="10" orientation="portrait" r:id="rId3"/>
      <headerFooter alignWithMargins="0">
        <oddHeader>&amp;A</oddHeader>
        <oddFooter>Page &amp;P</oddFooter>
      </headerFooter>
      <autoFilter ref="B1:I1" xr:uid="{00000000-0000-0000-0000-000000000000}"/>
    </customSheetView>
  </customSheetViews>
  <mergeCells count="1">
    <mergeCell ref="A1:K1"/>
  </mergeCells>
  <phoneticPr fontId="0" type="noConversion"/>
  <dataValidations count="2">
    <dataValidation type="decimal" allowBlank="1" showInputMessage="1" showErrorMessage="1" error="Uniquement entre 500 et 6000" sqref="D4:D38" xr:uid="{00000000-0002-0000-0000-000000000000}">
      <formula1>500</formula1>
      <formula2>6000</formula2>
    </dataValidation>
    <dataValidation type="list" allowBlank="1" showInputMessage="1" showErrorMessage="1" sqref="E4:E38" xr:uid="{00000000-0002-0000-0000-000001000000}">
      <formula1>#REF!</formula1>
    </dataValidation>
  </dataValidations>
  <printOptions horizontalCentered="1"/>
  <pageMargins left="0.78740157480314965" right="0.78740157480314965" top="0.98425196850393704" bottom="0.98425196850393704" header="0.51181102362204722" footer="0.51181102362204722"/>
  <pageSetup paperSize="9" scale="90" orientation="portrait" r:id="rId4"/>
  <headerFooter alignWithMargins="0">
    <oddHeader>&amp;CListe des membres par dates et régions</oddHeader>
    <oddFooter>&amp;RGilles Terreaux, &amp;D</oddFooter>
  </headerFooter>
  <webPublishItems count="1">
    <webPublishItem id="20630" divId="asso_20630" sourceType="sheet" destinationFile="D:\doc__w6\154 Octobre\GP_Excel\asso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L43"/>
  <sheetViews>
    <sheetView showFormulas="1" topLeftCell="A3" zoomScale="85" zoomScaleNormal="110" workbookViewId="0">
      <selection activeCell="H3" sqref="H3:J3"/>
    </sheetView>
  </sheetViews>
  <sheetFormatPr baseColWidth="10" defaultRowHeight="15"/>
  <cols>
    <col min="1" max="3" width="1.140625" style="6" customWidth="1"/>
    <col min="4" max="4" width="1.140625" style="14" customWidth="1"/>
    <col min="5" max="5" width="1.140625" style="6" customWidth="1"/>
    <col min="6" max="6" width="1.140625" style="1" customWidth="1"/>
    <col min="7" max="7" width="35" style="1" bestFit="1" customWidth="1"/>
    <col min="8" max="9" width="40.7109375" style="1" bestFit="1" customWidth="1"/>
    <col min="10" max="10" width="56.28515625" style="1" customWidth="1"/>
    <col min="11" max="12" width="1.140625" style="1" hidden="1" customWidth="1"/>
    <col min="13" max="13" width="4.28515625" style="1" customWidth="1"/>
    <col min="14" max="16384" width="11.42578125" style="1"/>
  </cols>
  <sheetData>
    <row r="1" spans="1:11" ht="33">
      <c r="A1" s="16" t="s">
        <v>79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>
      <c r="H2" s="9" t="s">
        <v>88</v>
      </c>
      <c r="I2" s="9" t="s">
        <v>89</v>
      </c>
      <c r="J2" s="9" t="s">
        <v>90</v>
      </c>
    </row>
    <row r="3" spans="1:11" ht="15.75">
      <c r="A3" s="2" t="s">
        <v>0</v>
      </c>
      <c r="B3" s="2" t="s">
        <v>1</v>
      </c>
      <c r="C3" s="2" t="s">
        <v>2</v>
      </c>
      <c r="D3" s="3" t="s">
        <v>70</v>
      </c>
      <c r="E3" s="2" t="s">
        <v>78</v>
      </c>
      <c r="F3" s="4" t="s">
        <v>71</v>
      </c>
      <c r="G3" s="4" t="s">
        <v>85</v>
      </c>
      <c r="H3" s="4" t="s">
        <v>91</v>
      </c>
      <c r="I3" s="4" t="s">
        <v>91</v>
      </c>
      <c r="J3" s="4" t="s">
        <v>91</v>
      </c>
    </row>
    <row r="4" spans="1:11" ht="15.75">
      <c r="A4" s="5" t="s">
        <v>63</v>
      </c>
      <c r="B4" s="6" t="s">
        <v>27</v>
      </c>
      <c r="C4" s="7" t="s">
        <v>4</v>
      </c>
      <c r="D4" s="8">
        <v>5336</v>
      </c>
      <c r="E4" s="7" t="s">
        <v>82</v>
      </c>
      <c r="F4" s="9" t="s">
        <v>76</v>
      </c>
      <c r="G4" s="10" t="str">
        <f t="shared" ref="G4:G38" si="0">IF(OR(F4="Nord",F4="Est",F4="Ouest"),"A convoquer"," ")</f>
        <v>A convoquer</v>
      </c>
      <c r="H4" s="11">
        <f t="shared" ref="H4:H38" si="1">IF(AND(C4="M",OR(F4="EST",F4="Sud"),E4="Voitures"),30%*D4,0)</f>
        <v>0</v>
      </c>
      <c r="I4" s="11">
        <f>IF(AND(C4="M",E4="Voitures",OR(F4="EST",F4="Sud")),30%*D4,0)</f>
        <v>0</v>
      </c>
      <c r="J4" s="11">
        <f>IF(OR(AND(C4="M",F4="Est",E4="Voitures"),AND(C4="M",F4="Sud",E4="Voitures")),D4*30%,0)</f>
        <v>0</v>
      </c>
    </row>
    <row r="5" spans="1:11" ht="15.75">
      <c r="A5" s="5" t="s">
        <v>32</v>
      </c>
      <c r="B5" s="6" t="s">
        <v>31</v>
      </c>
      <c r="C5" s="7" t="s">
        <v>3</v>
      </c>
      <c r="D5" s="8">
        <v>3730</v>
      </c>
      <c r="E5" s="7" t="s">
        <v>81</v>
      </c>
      <c r="F5" s="9" t="s">
        <v>76</v>
      </c>
      <c r="G5" s="10" t="str">
        <f t="shared" si="0"/>
        <v>A convoquer</v>
      </c>
      <c r="H5" s="11">
        <f t="shared" si="1"/>
        <v>0</v>
      </c>
      <c r="I5" s="11">
        <f t="shared" ref="I5:I38" si="2">IF(AND(C5="M",E5="Voitures",OR(F5="EST",F5="Sud")),30%*D5,0)</f>
        <v>0</v>
      </c>
      <c r="J5" s="11">
        <f t="shared" ref="J5:J38" si="3">IF(OR(AND(C5="M",F5="Est",E5="Voitures"),AND(C5="M",F5="Sud",E5="Voitures")),D5*30%,0)</f>
        <v>0</v>
      </c>
    </row>
    <row r="6" spans="1:11" ht="15.75">
      <c r="A6" s="5" t="s">
        <v>35</v>
      </c>
      <c r="B6" s="6" t="s">
        <v>12</v>
      </c>
      <c r="C6" s="7" t="s">
        <v>3</v>
      </c>
      <c r="D6" s="8">
        <v>4284</v>
      </c>
      <c r="E6" s="7" t="s">
        <v>81</v>
      </c>
      <c r="F6" s="9" t="s">
        <v>74</v>
      </c>
      <c r="G6" s="10" t="str">
        <f t="shared" si="0"/>
        <v xml:space="preserve"> </v>
      </c>
      <c r="H6" s="11">
        <f t="shared" si="1"/>
        <v>0</v>
      </c>
      <c r="I6" s="11">
        <f t="shared" si="2"/>
        <v>0</v>
      </c>
      <c r="J6" s="11">
        <f t="shared" si="3"/>
        <v>0</v>
      </c>
    </row>
    <row r="7" spans="1:11" ht="15.75">
      <c r="A7" s="5" t="s">
        <v>61</v>
      </c>
      <c r="B7" s="6" t="s">
        <v>62</v>
      </c>
      <c r="C7" s="7" t="s">
        <v>4</v>
      </c>
      <c r="D7" s="8">
        <v>645</v>
      </c>
      <c r="E7" s="7" t="s">
        <v>82</v>
      </c>
      <c r="F7" s="9" t="s">
        <v>76</v>
      </c>
      <c r="G7" s="10" t="str">
        <f t="shared" si="0"/>
        <v>A convoquer</v>
      </c>
      <c r="H7" s="11">
        <f t="shared" si="1"/>
        <v>0</v>
      </c>
      <c r="I7" s="11">
        <f t="shared" si="2"/>
        <v>0</v>
      </c>
      <c r="J7" s="11">
        <f t="shared" si="3"/>
        <v>0</v>
      </c>
    </row>
    <row r="8" spans="1:11" ht="15.75">
      <c r="A8" s="5" t="s">
        <v>59</v>
      </c>
      <c r="B8" s="6" t="s">
        <v>43</v>
      </c>
      <c r="C8" s="7" t="s">
        <v>3</v>
      </c>
      <c r="D8" s="8">
        <v>2623</v>
      </c>
      <c r="E8" s="7" t="s">
        <v>82</v>
      </c>
      <c r="F8" s="9" t="s">
        <v>76</v>
      </c>
      <c r="G8" s="10" t="str">
        <f t="shared" si="0"/>
        <v>A convoquer</v>
      </c>
      <c r="H8" s="11">
        <f t="shared" si="1"/>
        <v>786.9</v>
      </c>
      <c r="I8" s="11">
        <f t="shared" si="2"/>
        <v>786.9</v>
      </c>
      <c r="J8" s="11">
        <f t="shared" si="3"/>
        <v>786.9</v>
      </c>
    </row>
    <row r="9" spans="1:11" ht="15.75">
      <c r="A9" s="5" t="s">
        <v>57</v>
      </c>
      <c r="B9" s="6" t="s">
        <v>58</v>
      </c>
      <c r="C9" s="7" t="s">
        <v>4</v>
      </c>
      <c r="D9" s="8">
        <v>4787</v>
      </c>
      <c r="E9" s="7" t="s">
        <v>82</v>
      </c>
      <c r="F9" s="9" t="s">
        <v>73</v>
      </c>
      <c r="G9" s="10" t="str">
        <f t="shared" si="0"/>
        <v xml:space="preserve"> </v>
      </c>
      <c r="H9" s="11">
        <f t="shared" si="1"/>
        <v>0</v>
      </c>
      <c r="I9" s="11">
        <f t="shared" si="2"/>
        <v>0</v>
      </c>
      <c r="J9" s="11">
        <f t="shared" si="3"/>
        <v>0</v>
      </c>
    </row>
    <row r="10" spans="1:11" ht="15.75">
      <c r="A10" s="5" t="s">
        <v>55</v>
      </c>
      <c r="B10" s="6" t="s">
        <v>11</v>
      </c>
      <c r="C10" s="7" t="s">
        <v>3</v>
      </c>
      <c r="D10" s="8">
        <v>1773</v>
      </c>
      <c r="E10" s="7" t="s">
        <v>81</v>
      </c>
      <c r="F10" s="9" t="s">
        <v>72</v>
      </c>
      <c r="G10" s="10" t="str">
        <f t="shared" si="0"/>
        <v>A convoquer</v>
      </c>
      <c r="H10" s="11">
        <f t="shared" si="1"/>
        <v>0</v>
      </c>
      <c r="I10" s="11">
        <f t="shared" si="2"/>
        <v>0</v>
      </c>
      <c r="J10" s="11">
        <f t="shared" si="3"/>
        <v>0</v>
      </c>
    </row>
    <row r="11" spans="1:11" ht="15.75">
      <c r="A11" s="5" t="s">
        <v>44</v>
      </c>
      <c r="B11" s="6" t="s">
        <v>34</v>
      </c>
      <c r="C11" s="7" t="s">
        <v>3</v>
      </c>
      <c r="D11" s="8">
        <v>2164</v>
      </c>
      <c r="E11" s="7" t="s">
        <v>81</v>
      </c>
      <c r="F11" s="9" t="s">
        <v>75</v>
      </c>
      <c r="G11" s="10" t="str">
        <f t="shared" si="0"/>
        <v>A convoquer</v>
      </c>
      <c r="H11" s="11">
        <f t="shared" si="1"/>
        <v>0</v>
      </c>
      <c r="I11" s="11">
        <f t="shared" si="2"/>
        <v>0</v>
      </c>
      <c r="J11" s="11">
        <f t="shared" si="3"/>
        <v>0</v>
      </c>
    </row>
    <row r="12" spans="1:11" ht="15.75">
      <c r="A12" s="5" t="s">
        <v>21</v>
      </c>
      <c r="B12" s="6" t="s">
        <v>17</v>
      </c>
      <c r="C12" s="7" t="s">
        <v>3</v>
      </c>
      <c r="D12" s="8">
        <v>1277</v>
      </c>
      <c r="E12" s="7" t="s">
        <v>80</v>
      </c>
      <c r="F12" s="9" t="s">
        <v>76</v>
      </c>
      <c r="G12" s="10" t="str">
        <f t="shared" si="0"/>
        <v>A convoquer</v>
      </c>
      <c r="H12" s="11">
        <f t="shared" si="1"/>
        <v>0</v>
      </c>
      <c r="I12" s="11">
        <f t="shared" si="2"/>
        <v>0</v>
      </c>
      <c r="J12" s="11">
        <f t="shared" si="3"/>
        <v>0</v>
      </c>
    </row>
    <row r="13" spans="1:11" ht="15.75">
      <c r="A13" s="5" t="s">
        <v>53</v>
      </c>
      <c r="B13" s="6" t="s">
        <v>19</v>
      </c>
      <c r="C13" s="7" t="s">
        <v>3</v>
      </c>
      <c r="D13" s="8">
        <v>3400</v>
      </c>
      <c r="E13" s="7" t="s">
        <v>82</v>
      </c>
      <c r="F13" s="9" t="s">
        <v>76</v>
      </c>
      <c r="G13" s="10" t="str">
        <f t="shared" si="0"/>
        <v>A convoquer</v>
      </c>
      <c r="H13" s="11">
        <f t="shared" si="1"/>
        <v>1020</v>
      </c>
      <c r="I13" s="11">
        <f t="shared" si="2"/>
        <v>1020</v>
      </c>
      <c r="J13" s="11">
        <f t="shared" si="3"/>
        <v>1020</v>
      </c>
    </row>
    <row r="14" spans="1:11" ht="15.75">
      <c r="A14" s="5" t="s">
        <v>15</v>
      </c>
      <c r="B14" s="6" t="s">
        <v>16</v>
      </c>
      <c r="C14" s="7" t="s">
        <v>4</v>
      </c>
      <c r="D14" s="8">
        <v>4625</v>
      </c>
      <c r="E14" s="7" t="s">
        <v>81</v>
      </c>
      <c r="F14" s="9" t="s">
        <v>75</v>
      </c>
      <c r="G14" s="10" t="str">
        <f t="shared" si="0"/>
        <v>A convoquer</v>
      </c>
      <c r="H14" s="11">
        <f t="shared" si="1"/>
        <v>0</v>
      </c>
      <c r="I14" s="11">
        <f t="shared" si="2"/>
        <v>0</v>
      </c>
      <c r="J14" s="11">
        <f t="shared" si="3"/>
        <v>0</v>
      </c>
    </row>
    <row r="15" spans="1:11" ht="15.75">
      <c r="A15" s="5" t="s">
        <v>45</v>
      </c>
      <c r="B15" s="6" t="s">
        <v>18</v>
      </c>
      <c r="C15" s="7" t="s">
        <v>3</v>
      </c>
      <c r="D15" s="8">
        <v>2032</v>
      </c>
      <c r="E15" s="7" t="s">
        <v>82</v>
      </c>
      <c r="F15" s="9" t="s">
        <v>76</v>
      </c>
      <c r="G15" s="10" t="str">
        <f t="shared" si="0"/>
        <v>A convoquer</v>
      </c>
      <c r="H15" s="11">
        <f t="shared" si="1"/>
        <v>609.6</v>
      </c>
      <c r="I15" s="11">
        <f t="shared" si="2"/>
        <v>609.6</v>
      </c>
      <c r="J15" s="11">
        <f t="shared" si="3"/>
        <v>609.6</v>
      </c>
    </row>
    <row r="16" spans="1:11" ht="15.75">
      <c r="A16" s="5" t="s">
        <v>42</v>
      </c>
      <c r="B16" s="6" t="s">
        <v>18</v>
      </c>
      <c r="C16" s="7" t="s">
        <v>3</v>
      </c>
      <c r="D16" s="8">
        <v>4921</v>
      </c>
      <c r="E16" s="7" t="s">
        <v>80</v>
      </c>
      <c r="F16" s="9" t="s">
        <v>76</v>
      </c>
      <c r="G16" s="10" t="str">
        <f t="shared" si="0"/>
        <v>A convoquer</v>
      </c>
      <c r="H16" s="11">
        <f t="shared" si="1"/>
        <v>0</v>
      </c>
      <c r="I16" s="11">
        <f t="shared" si="2"/>
        <v>0</v>
      </c>
      <c r="J16" s="11">
        <f t="shared" si="3"/>
        <v>0</v>
      </c>
    </row>
    <row r="17" spans="1:10" ht="15.75">
      <c r="A17" s="5" t="s">
        <v>49</v>
      </c>
      <c r="B17" s="6" t="s">
        <v>39</v>
      </c>
      <c r="C17" s="7" t="s">
        <v>3</v>
      </c>
      <c r="D17" s="8">
        <v>2020</v>
      </c>
      <c r="E17" s="7" t="s">
        <v>82</v>
      </c>
      <c r="F17" s="9" t="s">
        <v>76</v>
      </c>
      <c r="G17" s="10" t="str">
        <f t="shared" si="0"/>
        <v>A convoquer</v>
      </c>
      <c r="H17" s="11">
        <f t="shared" si="1"/>
        <v>606</v>
      </c>
      <c r="I17" s="11">
        <f t="shared" si="2"/>
        <v>606</v>
      </c>
      <c r="J17" s="11">
        <f t="shared" si="3"/>
        <v>606</v>
      </c>
    </row>
    <row r="18" spans="1:10" ht="15.75">
      <c r="A18" s="5" t="s">
        <v>8</v>
      </c>
      <c r="B18" s="6" t="s">
        <v>9</v>
      </c>
      <c r="C18" s="7" t="s">
        <v>3</v>
      </c>
      <c r="D18" s="8">
        <v>3417</v>
      </c>
      <c r="E18" s="7" t="s">
        <v>82</v>
      </c>
      <c r="F18" s="9" t="s">
        <v>76</v>
      </c>
      <c r="G18" s="10" t="str">
        <f t="shared" si="0"/>
        <v>A convoquer</v>
      </c>
      <c r="H18" s="11">
        <f t="shared" si="1"/>
        <v>1025.0999999999999</v>
      </c>
      <c r="I18" s="11">
        <f t="shared" si="2"/>
        <v>1025.0999999999999</v>
      </c>
      <c r="J18" s="11">
        <f t="shared" si="3"/>
        <v>1025.0999999999999</v>
      </c>
    </row>
    <row r="19" spans="1:10" ht="15.75">
      <c r="A19" s="5" t="s">
        <v>10</v>
      </c>
      <c r="B19" s="6" t="s">
        <v>11</v>
      </c>
      <c r="C19" s="7" t="s">
        <v>3</v>
      </c>
      <c r="D19" s="8">
        <v>4812</v>
      </c>
      <c r="E19" s="7" t="s">
        <v>81</v>
      </c>
      <c r="F19" s="13" t="s">
        <v>77</v>
      </c>
      <c r="G19" s="10" t="str">
        <f t="shared" si="0"/>
        <v xml:space="preserve"> </v>
      </c>
      <c r="H19" s="11">
        <f t="shared" si="1"/>
        <v>0</v>
      </c>
      <c r="I19" s="11">
        <f t="shared" si="2"/>
        <v>0</v>
      </c>
      <c r="J19" s="11">
        <f t="shared" si="3"/>
        <v>0</v>
      </c>
    </row>
    <row r="20" spans="1:10" ht="15.75">
      <c r="A20" s="5" t="s">
        <v>48</v>
      </c>
      <c r="B20" s="6" t="s">
        <v>47</v>
      </c>
      <c r="C20" s="7" t="s">
        <v>3</v>
      </c>
      <c r="D20" s="8">
        <v>5221</v>
      </c>
      <c r="E20" s="7" t="s">
        <v>84</v>
      </c>
      <c r="F20" s="9" t="s">
        <v>76</v>
      </c>
      <c r="G20" s="10" t="str">
        <f t="shared" si="0"/>
        <v>A convoquer</v>
      </c>
      <c r="H20" s="11">
        <f t="shared" si="1"/>
        <v>0</v>
      </c>
      <c r="I20" s="11">
        <f t="shared" si="2"/>
        <v>0</v>
      </c>
      <c r="J20" s="11">
        <f t="shared" si="3"/>
        <v>0</v>
      </c>
    </row>
    <row r="21" spans="1:10" ht="15.75">
      <c r="A21" s="5" t="s">
        <v>6</v>
      </c>
      <c r="B21" s="6" t="s">
        <v>14</v>
      </c>
      <c r="C21" s="7" t="s">
        <v>4</v>
      </c>
      <c r="D21" s="8">
        <v>2981</v>
      </c>
      <c r="E21" s="7" t="s">
        <v>83</v>
      </c>
      <c r="F21" s="9" t="s">
        <v>74</v>
      </c>
      <c r="G21" s="10" t="str">
        <f t="shared" si="0"/>
        <v xml:space="preserve"> </v>
      </c>
      <c r="H21" s="11">
        <f t="shared" si="1"/>
        <v>0</v>
      </c>
      <c r="I21" s="11">
        <f t="shared" si="2"/>
        <v>0</v>
      </c>
      <c r="J21" s="11">
        <f t="shared" si="3"/>
        <v>0</v>
      </c>
    </row>
    <row r="22" spans="1:10" ht="15.75">
      <c r="A22" s="5" t="s">
        <v>69</v>
      </c>
      <c r="B22" s="6" t="s">
        <v>41</v>
      </c>
      <c r="C22" s="7" t="s">
        <v>4</v>
      </c>
      <c r="D22" s="8">
        <v>1364</v>
      </c>
      <c r="E22" s="7" t="s">
        <v>81</v>
      </c>
      <c r="F22" s="9" t="s">
        <v>73</v>
      </c>
      <c r="G22" s="10" t="str">
        <f t="shared" si="0"/>
        <v xml:space="preserve"> </v>
      </c>
      <c r="H22" s="11">
        <f t="shared" si="1"/>
        <v>0</v>
      </c>
      <c r="I22" s="11">
        <f t="shared" si="2"/>
        <v>0</v>
      </c>
      <c r="J22" s="11">
        <f t="shared" si="3"/>
        <v>0</v>
      </c>
    </row>
    <row r="23" spans="1:10" ht="15.75">
      <c r="A23" s="5" t="s">
        <v>67</v>
      </c>
      <c r="B23" s="6" t="s">
        <v>20</v>
      </c>
      <c r="C23" s="7" t="s">
        <v>3</v>
      </c>
      <c r="D23" s="8">
        <v>3875</v>
      </c>
      <c r="E23" s="7" t="s">
        <v>80</v>
      </c>
      <c r="F23" s="9" t="s">
        <v>73</v>
      </c>
      <c r="G23" s="10" t="str">
        <f t="shared" si="0"/>
        <v xml:space="preserve"> </v>
      </c>
      <c r="H23" s="11">
        <f t="shared" si="1"/>
        <v>0</v>
      </c>
      <c r="I23" s="11">
        <f t="shared" si="2"/>
        <v>0</v>
      </c>
      <c r="J23" s="11">
        <f t="shared" si="3"/>
        <v>0</v>
      </c>
    </row>
    <row r="24" spans="1:10" ht="15.75">
      <c r="A24" s="5" t="s">
        <v>54</v>
      </c>
      <c r="B24" s="6" t="s">
        <v>29</v>
      </c>
      <c r="C24" s="7" t="s">
        <v>3</v>
      </c>
      <c r="D24" s="8">
        <v>4245</v>
      </c>
      <c r="E24" s="7" t="s">
        <v>82</v>
      </c>
      <c r="F24" s="9" t="s">
        <v>72</v>
      </c>
      <c r="G24" s="10" t="str">
        <f t="shared" si="0"/>
        <v>A convoquer</v>
      </c>
      <c r="H24" s="11">
        <f t="shared" si="1"/>
        <v>0</v>
      </c>
      <c r="I24" s="11">
        <f t="shared" si="2"/>
        <v>0</v>
      </c>
      <c r="J24" s="11">
        <f t="shared" si="3"/>
        <v>0</v>
      </c>
    </row>
    <row r="25" spans="1:10" ht="15.75">
      <c r="A25" s="5" t="s">
        <v>33</v>
      </c>
      <c r="B25" s="6" t="s">
        <v>29</v>
      </c>
      <c r="C25" s="7" t="s">
        <v>3</v>
      </c>
      <c r="D25" s="8">
        <v>2475</v>
      </c>
      <c r="E25" s="7" t="s">
        <v>81</v>
      </c>
      <c r="F25" s="9" t="s">
        <v>76</v>
      </c>
      <c r="G25" s="10" t="str">
        <f t="shared" si="0"/>
        <v>A convoquer</v>
      </c>
      <c r="H25" s="11">
        <f t="shared" si="1"/>
        <v>0</v>
      </c>
      <c r="I25" s="11">
        <f t="shared" si="2"/>
        <v>0</v>
      </c>
      <c r="J25" s="11">
        <f t="shared" si="3"/>
        <v>0</v>
      </c>
    </row>
    <row r="26" spans="1:10" ht="15.75">
      <c r="A26" s="5" t="s">
        <v>37</v>
      </c>
      <c r="B26" s="6" t="s">
        <v>24</v>
      </c>
      <c r="C26" s="7" t="s">
        <v>4</v>
      </c>
      <c r="D26" s="8">
        <v>2873</v>
      </c>
      <c r="E26" s="7" t="s">
        <v>83</v>
      </c>
      <c r="F26" s="9" t="s">
        <v>74</v>
      </c>
      <c r="G26" s="10" t="str">
        <f t="shared" si="0"/>
        <v xml:space="preserve"> </v>
      </c>
      <c r="H26" s="11">
        <f t="shared" si="1"/>
        <v>0</v>
      </c>
      <c r="I26" s="11">
        <f t="shared" si="2"/>
        <v>0</v>
      </c>
      <c r="J26" s="11">
        <f t="shared" si="3"/>
        <v>0</v>
      </c>
    </row>
    <row r="27" spans="1:10" ht="15.75">
      <c r="A27" s="5" t="s">
        <v>64</v>
      </c>
      <c r="B27" s="6" t="s">
        <v>7</v>
      </c>
      <c r="C27" s="7" t="s">
        <v>4</v>
      </c>
      <c r="D27" s="8">
        <v>5391</v>
      </c>
      <c r="E27" s="7" t="s">
        <v>82</v>
      </c>
      <c r="F27" s="13" t="s">
        <v>77</v>
      </c>
      <c r="G27" s="10" t="str">
        <f t="shared" si="0"/>
        <v xml:space="preserve"> </v>
      </c>
      <c r="H27" s="11">
        <f t="shared" si="1"/>
        <v>0</v>
      </c>
      <c r="I27" s="11">
        <f t="shared" si="2"/>
        <v>0</v>
      </c>
      <c r="J27" s="11">
        <f t="shared" si="3"/>
        <v>0</v>
      </c>
    </row>
    <row r="28" spans="1:10" ht="15.75">
      <c r="A28" s="5" t="s">
        <v>46</v>
      </c>
      <c r="B28" s="6" t="s">
        <v>5</v>
      </c>
      <c r="C28" s="7" t="s">
        <v>3</v>
      </c>
      <c r="D28" s="8">
        <v>4501</v>
      </c>
      <c r="E28" s="7" t="s">
        <v>82</v>
      </c>
      <c r="F28" s="9" t="s">
        <v>76</v>
      </c>
      <c r="G28" s="10" t="str">
        <f t="shared" si="0"/>
        <v>A convoquer</v>
      </c>
      <c r="H28" s="11">
        <f t="shared" si="1"/>
        <v>1350.3</v>
      </c>
      <c r="I28" s="11">
        <f t="shared" si="2"/>
        <v>1350.3</v>
      </c>
      <c r="J28" s="11">
        <f t="shared" si="3"/>
        <v>1350.3</v>
      </c>
    </row>
    <row r="29" spans="1:10" ht="15.75">
      <c r="A29" s="5" t="s">
        <v>65</v>
      </c>
      <c r="B29" s="6" t="s">
        <v>66</v>
      </c>
      <c r="C29" s="7" t="s">
        <v>4</v>
      </c>
      <c r="D29" s="8">
        <v>514</v>
      </c>
      <c r="E29" s="7" t="s">
        <v>82</v>
      </c>
      <c r="F29" s="9" t="s">
        <v>76</v>
      </c>
      <c r="G29" s="10" t="str">
        <f t="shared" si="0"/>
        <v>A convoquer</v>
      </c>
      <c r="H29" s="11">
        <f t="shared" si="1"/>
        <v>0</v>
      </c>
      <c r="I29" s="11">
        <f t="shared" si="2"/>
        <v>0</v>
      </c>
      <c r="J29" s="11">
        <f t="shared" si="3"/>
        <v>0</v>
      </c>
    </row>
    <row r="30" spans="1:10" ht="15.75">
      <c r="A30" s="5" t="s">
        <v>60</v>
      </c>
      <c r="B30" s="6" t="s">
        <v>19</v>
      </c>
      <c r="C30" s="7" t="s">
        <v>3</v>
      </c>
      <c r="D30" s="8">
        <v>5473</v>
      </c>
      <c r="E30" s="7" t="s">
        <v>81</v>
      </c>
      <c r="F30" s="13" t="s">
        <v>77</v>
      </c>
      <c r="G30" s="10" t="str">
        <f t="shared" si="0"/>
        <v xml:space="preserve"> </v>
      </c>
      <c r="H30" s="11">
        <f t="shared" si="1"/>
        <v>0</v>
      </c>
      <c r="I30" s="11">
        <f t="shared" si="2"/>
        <v>0</v>
      </c>
      <c r="J30" s="11">
        <f t="shared" si="3"/>
        <v>0</v>
      </c>
    </row>
    <row r="31" spans="1:10" ht="15.75">
      <c r="A31" s="5" t="s">
        <v>68</v>
      </c>
      <c r="B31" s="6" t="s">
        <v>9</v>
      </c>
      <c r="C31" s="7" t="s">
        <v>3</v>
      </c>
      <c r="D31" s="8">
        <v>612</v>
      </c>
      <c r="E31" s="7" t="s">
        <v>82</v>
      </c>
      <c r="F31" s="9" t="s">
        <v>76</v>
      </c>
      <c r="G31" s="10" t="str">
        <f t="shared" si="0"/>
        <v>A convoquer</v>
      </c>
      <c r="H31" s="11">
        <f t="shared" si="1"/>
        <v>183.6</v>
      </c>
      <c r="I31" s="11">
        <f t="shared" si="2"/>
        <v>183.6</v>
      </c>
      <c r="J31" s="11">
        <f t="shared" si="3"/>
        <v>183.6</v>
      </c>
    </row>
    <row r="32" spans="1:10" ht="15.75">
      <c r="A32" s="5" t="s">
        <v>40</v>
      </c>
      <c r="B32" s="6" t="s">
        <v>30</v>
      </c>
      <c r="C32" s="7" t="s">
        <v>4</v>
      </c>
      <c r="D32" s="8">
        <v>4460</v>
      </c>
      <c r="E32" s="7" t="s">
        <v>80</v>
      </c>
      <c r="F32" s="9" t="s">
        <v>76</v>
      </c>
      <c r="G32" s="10" t="str">
        <f t="shared" si="0"/>
        <v>A convoquer</v>
      </c>
      <c r="H32" s="11">
        <f t="shared" si="1"/>
        <v>0</v>
      </c>
      <c r="I32" s="11">
        <f t="shared" si="2"/>
        <v>0</v>
      </c>
      <c r="J32" s="11">
        <f t="shared" si="3"/>
        <v>0</v>
      </c>
    </row>
    <row r="33" spans="1:10" ht="15.75">
      <c r="A33" s="5" t="s">
        <v>56</v>
      </c>
      <c r="B33" s="6" t="s">
        <v>28</v>
      </c>
      <c r="C33" s="7" t="s">
        <v>4</v>
      </c>
      <c r="D33" s="8">
        <v>4198</v>
      </c>
      <c r="E33" s="7" t="s">
        <v>84</v>
      </c>
      <c r="F33" s="9" t="s">
        <v>76</v>
      </c>
      <c r="G33" s="10" t="str">
        <f t="shared" si="0"/>
        <v>A convoquer</v>
      </c>
      <c r="H33" s="11">
        <f t="shared" si="1"/>
        <v>0</v>
      </c>
      <c r="I33" s="11">
        <f t="shared" si="2"/>
        <v>0</v>
      </c>
      <c r="J33" s="11">
        <f t="shared" si="3"/>
        <v>0</v>
      </c>
    </row>
    <row r="34" spans="1:10" ht="15.75">
      <c r="A34" s="5" t="s">
        <v>52</v>
      </c>
      <c r="B34" s="6" t="s">
        <v>25</v>
      </c>
      <c r="C34" s="7" t="s">
        <v>4</v>
      </c>
      <c r="D34" s="8">
        <v>5133</v>
      </c>
      <c r="E34" s="7" t="s">
        <v>82</v>
      </c>
      <c r="F34" s="9" t="s">
        <v>76</v>
      </c>
      <c r="G34" s="10" t="str">
        <f t="shared" si="0"/>
        <v>A convoquer</v>
      </c>
      <c r="H34" s="11">
        <f t="shared" si="1"/>
        <v>0</v>
      </c>
      <c r="I34" s="11">
        <f t="shared" si="2"/>
        <v>0</v>
      </c>
      <c r="J34" s="11">
        <f t="shared" si="3"/>
        <v>0</v>
      </c>
    </row>
    <row r="35" spans="1:10" ht="15.75">
      <c r="A35" s="5" t="s">
        <v>38</v>
      </c>
      <c r="B35" s="6" t="s">
        <v>13</v>
      </c>
      <c r="C35" s="7" t="s">
        <v>3</v>
      </c>
      <c r="D35" s="8">
        <v>2145</v>
      </c>
      <c r="E35" s="7" t="s">
        <v>84</v>
      </c>
      <c r="F35" s="9" t="s">
        <v>73</v>
      </c>
      <c r="G35" s="10" t="str">
        <f t="shared" si="0"/>
        <v xml:space="preserve"> </v>
      </c>
      <c r="H35" s="11">
        <f t="shared" si="1"/>
        <v>0</v>
      </c>
      <c r="I35" s="11">
        <f t="shared" si="2"/>
        <v>0</v>
      </c>
      <c r="J35" s="11">
        <f t="shared" si="3"/>
        <v>0</v>
      </c>
    </row>
    <row r="36" spans="1:10" ht="15.75">
      <c r="A36" s="5" t="s">
        <v>50</v>
      </c>
      <c r="B36" s="6" t="s">
        <v>51</v>
      </c>
      <c r="C36" s="7" t="s">
        <v>4</v>
      </c>
      <c r="D36" s="8">
        <v>5290</v>
      </c>
      <c r="E36" s="7" t="s">
        <v>83</v>
      </c>
      <c r="F36" s="13" t="s">
        <v>77</v>
      </c>
      <c r="G36" s="10" t="str">
        <f t="shared" si="0"/>
        <v xml:space="preserve"> </v>
      </c>
      <c r="H36" s="11">
        <f t="shared" si="1"/>
        <v>0</v>
      </c>
      <c r="I36" s="11">
        <f t="shared" si="2"/>
        <v>0</v>
      </c>
      <c r="J36" s="11">
        <f t="shared" si="3"/>
        <v>0</v>
      </c>
    </row>
    <row r="37" spans="1:10" ht="15.75">
      <c r="A37" s="5" t="s">
        <v>22</v>
      </c>
      <c r="B37" s="6" t="s">
        <v>23</v>
      </c>
      <c r="C37" s="7" t="s">
        <v>3</v>
      </c>
      <c r="D37" s="8">
        <v>4132</v>
      </c>
      <c r="E37" s="7" t="s">
        <v>80</v>
      </c>
      <c r="F37" s="9" t="s">
        <v>76</v>
      </c>
      <c r="G37" s="10" t="str">
        <f t="shared" si="0"/>
        <v>A convoquer</v>
      </c>
      <c r="H37" s="11">
        <f t="shared" si="1"/>
        <v>0</v>
      </c>
      <c r="I37" s="11">
        <f t="shared" si="2"/>
        <v>0</v>
      </c>
      <c r="J37" s="11">
        <f t="shared" si="3"/>
        <v>0</v>
      </c>
    </row>
    <row r="38" spans="1:10" ht="15.75">
      <c r="A38" s="5" t="s">
        <v>36</v>
      </c>
      <c r="B38" s="6" t="s">
        <v>26</v>
      </c>
      <c r="C38" s="7" t="s">
        <v>3</v>
      </c>
      <c r="D38" s="8">
        <v>5331</v>
      </c>
      <c r="E38" s="7" t="s">
        <v>82</v>
      </c>
      <c r="F38" s="9" t="s">
        <v>76</v>
      </c>
      <c r="G38" s="10" t="str">
        <f t="shared" si="0"/>
        <v>A convoquer</v>
      </c>
      <c r="H38" s="11">
        <f t="shared" si="1"/>
        <v>1599.3</v>
      </c>
      <c r="I38" s="11">
        <f t="shared" si="2"/>
        <v>1599.3</v>
      </c>
      <c r="J38" s="11">
        <f t="shared" si="3"/>
        <v>1599.3</v>
      </c>
    </row>
    <row r="42" spans="1:10" ht="15.75">
      <c r="G42" s="15" t="s">
        <v>86</v>
      </c>
      <c r="H42" s="12" t="str">
        <f>IF(AND(E4="Trains",C4="F"),"OUI","NON")</f>
        <v>NON</v>
      </c>
    </row>
    <row r="43" spans="1:10" ht="15.75">
      <c r="G43" s="15" t="s">
        <v>87</v>
      </c>
      <c r="H43" s="12" t="str">
        <f>IF(OR(B5="serge",C5="M",E5="Trains"),"OUI","NON")</f>
        <v>OUI</v>
      </c>
    </row>
  </sheetData>
  <dataConsolidate/>
  <mergeCells count="1">
    <mergeCell ref="A1:K1"/>
  </mergeCells>
  <dataValidations count="2">
    <dataValidation type="list" allowBlank="1" showInputMessage="1" showErrorMessage="1" sqref="E4:E38" xr:uid="{00000000-0002-0000-0100-000000000000}">
      <formula1>#REF!</formula1>
    </dataValidation>
    <dataValidation type="decimal" allowBlank="1" showInputMessage="1" showErrorMessage="1" error="Uniquement entre 500 et 6000" sqref="D4:D38" xr:uid="{00000000-0002-0000-0100-000001000000}">
      <formula1>500</formula1>
      <formula2>6000</formula2>
    </dataValidation>
  </dataValidations>
  <printOptions horizontalCentered="1"/>
  <pageMargins left="0.19" right="0.17" top="0.98425196850393704" bottom="0.98425196850393704" header="0.51181102362204722" footer="0.51181102362204722"/>
  <pageSetup paperSize="9" scale="42" orientation="landscape" r:id="rId1"/>
  <headerFooter alignWithMargins="0">
    <oddHeader>&amp;CListe des membres par dates et régions</oddHeader>
    <oddFooter>&amp;RGilles Terreaux,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</vt:i4>
      </vt:variant>
    </vt:vector>
  </HeadingPairs>
  <TitlesOfParts>
    <vt:vector size="8" baseType="lpstr">
      <vt:lpstr>Données</vt:lpstr>
      <vt:lpstr>Formules</vt:lpstr>
      <vt:lpstr>Données!Impression_des_titres</vt:lpstr>
      <vt:lpstr>Formules!Impression_des_titres</vt:lpstr>
      <vt:lpstr>Formules!TABLEAU</vt:lpstr>
      <vt:lpstr>TABLEAU</vt:lpstr>
      <vt:lpstr>Données!Zone_d_impression</vt:lpstr>
      <vt:lpstr>Formules!Zone_d_impression</vt:lpstr>
    </vt:vector>
  </TitlesOfParts>
  <Company>GROUPE TESTS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TESTS</dc:creator>
  <cp:lastModifiedBy>Michele GROSSET</cp:lastModifiedBy>
  <cp:lastPrinted>2021-02-05T15:36:50Z</cp:lastPrinted>
  <dcterms:created xsi:type="dcterms:W3CDTF">1996-06-07T17:54:21Z</dcterms:created>
  <dcterms:modified xsi:type="dcterms:W3CDTF">2021-02-05T15:36:52Z</dcterms:modified>
</cp:coreProperties>
</file>