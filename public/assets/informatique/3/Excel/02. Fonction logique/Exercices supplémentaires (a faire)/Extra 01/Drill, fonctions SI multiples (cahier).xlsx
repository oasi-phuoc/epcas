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0000000 - 2021-2022- Support de cours\1re année\1re, ICA-I\1re, I - cahier exercice\Sem. 2\"/>
    </mc:Choice>
  </mc:AlternateContent>
  <xr:revisionPtr revIDLastSave="0" documentId="13_ncr:1_{025FA051-B160-438B-9A1F-1DD55ED95E9F}" xr6:coauthVersionLast="36" xr6:coauthVersionMax="36" xr10:uidLastSave="{00000000-0000-0000-0000-000000000000}"/>
  <bookViews>
    <workbookView xWindow="480" yWindow="60" windowWidth="10380" windowHeight="5775" xr2:uid="{00000000-000D-0000-FFFF-FFFF00000000}"/>
  </bookViews>
  <sheets>
    <sheet name="Drill, fonctions SI multiples" sheetId="1" r:id="rId1"/>
  </sheets>
  <calcPr calcId="191029"/>
</workbook>
</file>

<file path=xl/calcChain.xml><?xml version="1.0" encoding="utf-8"?>
<calcChain xmlns="http://schemas.openxmlformats.org/spreadsheetml/2006/main">
  <c r="H14" i="1" l="1"/>
  <c r="K9" i="1"/>
  <c r="I9" i="1"/>
  <c r="G9" i="1"/>
  <c r="G10" i="1"/>
  <c r="G11" i="1"/>
  <c r="G12" i="1"/>
  <c r="G13" i="1"/>
  <c r="G14" i="1"/>
  <c r="G15" i="1"/>
  <c r="K10" i="1"/>
  <c r="K11" i="1"/>
  <c r="K12" i="1"/>
  <c r="K13" i="1"/>
  <c r="K14" i="1"/>
  <c r="K15" i="1"/>
  <c r="I10" i="1"/>
  <c r="I11" i="1"/>
  <c r="I12" i="1"/>
  <c r="I13" i="1"/>
  <c r="I14" i="1"/>
  <c r="I15" i="1"/>
  <c r="H13" i="1"/>
  <c r="J13" i="1" s="1"/>
  <c r="H9" i="1"/>
  <c r="H15" i="1"/>
  <c r="H10" i="1"/>
  <c r="O10" i="1" s="1"/>
  <c r="H11" i="1"/>
  <c r="H12" i="1"/>
  <c r="J15" i="1"/>
  <c r="Q11" i="1" l="1"/>
  <c r="L13" i="1"/>
  <c r="M13" i="1" s="1"/>
  <c r="Q13" i="1"/>
  <c r="O13" i="1"/>
  <c r="Q15" i="1"/>
  <c r="L15" i="1"/>
  <c r="M15" i="1" s="1"/>
  <c r="Q12" i="1"/>
  <c r="Q9" i="1"/>
  <c r="O9" i="1"/>
  <c r="Q14" i="1"/>
  <c r="N13" i="1"/>
  <c r="P13" i="1" s="1"/>
  <c r="N15" i="1"/>
  <c r="J11" i="1"/>
  <c r="L11" i="1" s="1"/>
  <c r="J12" i="1"/>
  <c r="L12" i="1" s="1"/>
  <c r="M12" i="1" s="1"/>
  <c r="Q10" i="1"/>
  <c r="J14" i="1"/>
  <c r="L14" i="1" s="1"/>
  <c r="M14" i="1" s="1"/>
  <c r="J9" i="1"/>
  <c r="L9" i="1" s="1"/>
  <c r="M9" i="1" s="1"/>
  <c r="J10" i="1"/>
  <c r="L10" i="1" s="1"/>
  <c r="M10" i="1" s="1"/>
  <c r="M11" i="1" l="1"/>
  <c r="O11" i="1"/>
  <c r="O15" i="1"/>
  <c r="P15" i="1" s="1"/>
  <c r="O14" i="1"/>
  <c r="O12" i="1"/>
  <c r="N11" i="1"/>
  <c r="P11" i="1" s="1"/>
  <c r="N9" i="1"/>
  <c r="P9" i="1" s="1"/>
  <c r="N12" i="1"/>
  <c r="N14" i="1"/>
  <c r="P14" i="1" s="1"/>
  <c r="N10" i="1"/>
  <c r="P10" i="1" s="1"/>
  <c r="P12" i="1" l="1"/>
</calcChain>
</file>

<file path=xl/sharedStrings.xml><?xml version="1.0" encoding="utf-8"?>
<sst xmlns="http://schemas.openxmlformats.org/spreadsheetml/2006/main" count="79" uniqueCount="74">
  <si>
    <t>NO</t>
  </si>
  <si>
    <t>NOM</t>
  </si>
  <si>
    <t>PRENOM</t>
  </si>
  <si>
    <t>NAISSANCE</t>
  </si>
  <si>
    <t>CAT</t>
  </si>
  <si>
    <t>CA</t>
  </si>
  <si>
    <t>AYMON</t>
  </si>
  <si>
    <t>GRANGES</t>
  </si>
  <si>
    <t>DUBUIS</t>
  </si>
  <si>
    <t>REY</t>
  </si>
  <si>
    <t>DUC</t>
  </si>
  <si>
    <t>DUPOND</t>
  </si>
  <si>
    <t>SALAMIN</t>
  </si>
  <si>
    <t>BOB</t>
  </si>
  <si>
    <t>CHARLES</t>
  </si>
  <si>
    <t>ALPHONSE</t>
  </si>
  <si>
    <t>NADIA</t>
  </si>
  <si>
    <t>FELIX</t>
  </si>
  <si>
    <t>ANNE</t>
  </si>
  <si>
    <t>A</t>
  </si>
  <si>
    <t>B</t>
  </si>
  <si>
    <t>C</t>
  </si>
  <si>
    <t>AGE</t>
  </si>
  <si>
    <t>PRIME 1</t>
  </si>
  <si>
    <t>PRIME 2</t>
  </si>
  <si>
    <t>PRIME 3</t>
  </si>
  <si>
    <t>SALAIRE</t>
  </si>
  <si>
    <t>AVS</t>
  </si>
  <si>
    <t>ANNEE</t>
  </si>
  <si>
    <t>TAUX AVS</t>
  </si>
  <si>
    <t>BASE</t>
  </si>
  <si>
    <t>SALAIRE NET</t>
  </si>
  <si>
    <t>PRIME cat A</t>
  </si>
  <si>
    <t>PRIME cat B</t>
  </si>
  <si>
    <t>PRIME cat C</t>
  </si>
  <si>
    <t>SALAIRE ANNUEL</t>
  </si>
  <si>
    <t>NB JOURS VAC</t>
  </si>
  <si>
    <t>LUCIE</t>
  </si>
  <si>
    <t>Drill, fonctions SI multiples</t>
  </si>
  <si>
    <t>3. Prime 1 :</t>
  </si>
  <si>
    <t>4. Prime 2 :</t>
  </si>
  <si>
    <t>5. Prime 3 :</t>
  </si>
  <si>
    <t>11. Vacances :</t>
  </si>
  <si>
    <t>12. Mise en page</t>
  </si>
  <si>
    <t>Si les employés sont de catégorie A, ils ont 2 % du CA en prime ;</t>
  </si>
  <si>
    <t>Si les employés sont de catégorie B, ils ont 3 % du CA en prime ;</t>
  </si>
  <si>
    <t>Si les employés sont de catégorie C, ils ont 4 % du CA en prime ;</t>
  </si>
  <si>
    <t>Utiliser la zone de saisie D4 à D6.</t>
  </si>
  <si>
    <t>Si l'âge est inférieur à 20 ans, pas de prime ;</t>
  </si>
  <si>
    <t>De 20 à 50 ans, Fr. 200.- de prime ;</t>
  </si>
  <si>
    <t>Fr. 500.- de prime à partir de 50 ans.</t>
  </si>
  <si>
    <t>Si le CA est inférieur à Fr. 100'000.-, 1 % du CA en prime ;</t>
  </si>
  <si>
    <t>De Fr. 100'000.- à Fr. 150'000.-, 3 % du CA en prime ;</t>
  </si>
  <si>
    <t>Plus de Fr. 150'000, 5 % du CA en prime.</t>
  </si>
  <si>
    <t>6. Calculer le salaire brut (colonne L).</t>
  </si>
  <si>
    <r>
      <t>Si l'âge est inférieur à 20 ans, pas de 13</t>
    </r>
    <r>
      <rPr>
        <vertAlign val="superscript"/>
        <sz val="11"/>
        <rFont val="Arial"/>
        <family val="2"/>
      </rPr>
      <t>e</t>
    </r>
    <r>
      <rPr>
        <sz val="11"/>
        <rFont val="Arial"/>
        <family val="2"/>
      </rPr>
      <t xml:space="preserve"> salaire ;</t>
    </r>
  </si>
  <si>
    <t>De 20 à 50 ans, 1/2 salaire en plus ;</t>
  </si>
  <si>
    <t>1 salaire supplémentaire pour les plus de 50 ans.</t>
  </si>
  <si>
    <t>Les employés de plus de 50 ans ont droit à 7 semaines ;</t>
  </si>
  <si>
    <t>Les employés de moins de 18 ans ont droit à 8 semaines de vacances par année ;</t>
  </si>
  <si>
    <t>De 18 à à 50 ans, les employés ont droit à 6 semaines de vacances.</t>
  </si>
  <si>
    <t>Paysage - ajusté sur une page - centré en hauteur ;</t>
  </si>
  <si>
    <t>N'afficher ni le quadrillage, ni les en-têtes de lignes et de colonnes ;</t>
  </si>
  <si>
    <t>Unique en-tête, centré, Arial, 24 pts, gras, "DRILL SI" ;</t>
  </si>
  <si>
    <t>Pied de page, à gauche, votre Prénom et votre Nom en italique ;</t>
  </si>
  <si>
    <t>Pied de page, à droite, la date du jour automatique.</t>
  </si>
  <si>
    <r>
      <t>10. Le salaire annuel est calculé en fonction du salaire mensuel net et du 13</t>
    </r>
    <r>
      <rPr>
        <vertAlign val="superscript"/>
        <sz val="11"/>
        <rFont val="Arial"/>
        <family val="2"/>
      </rPr>
      <t>e</t>
    </r>
    <r>
      <rPr>
        <sz val="11"/>
        <rFont val="Arial"/>
        <family val="2"/>
      </rPr>
      <t xml:space="preserve"> salaire. Il est arrondi à 5 ct.</t>
    </r>
  </si>
  <si>
    <t>1. Le salaire de base est de Fr. 2'500.- (colonne G). Utiliser la cellule B6.</t>
  </si>
  <si>
    <t>2. Calculer l'âge des employés dans la colonne H (35 ans). Utiliser la cellule B4.</t>
  </si>
  <si>
    <t xml:space="preserve"> </t>
  </si>
  <si>
    <t>8. Calculer le salaire mensuel net, arrondi à 5 ct.</t>
  </si>
  <si>
    <r>
      <t xml:space="preserve"> 9. 13</t>
    </r>
    <r>
      <rPr>
        <vertAlign val="superscript"/>
        <sz val="11"/>
        <rFont val="Arial"/>
        <family val="2"/>
      </rPr>
      <t>e</t>
    </r>
    <r>
      <rPr>
        <sz val="11"/>
        <rFont val="Arial"/>
        <family val="2"/>
      </rPr>
      <t xml:space="preserve"> salaire :</t>
    </r>
  </si>
  <si>
    <t>7. Calculer l'AVS (Colonne M). Utiliser la cellule B5.</t>
  </si>
  <si>
    <r>
      <t>13</t>
    </r>
    <r>
      <rPr>
        <b/>
        <vertAlign val="superscript"/>
        <sz val="10"/>
        <rFont val="Arial"/>
        <family val="2"/>
      </rPr>
      <t>e</t>
    </r>
    <r>
      <rPr>
        <b/>
        <sz val="10"/>
        <rFont val="Arial"/>
        <family val="2"/>
      </rPr>
      <t xml:space="preserve"> SALAIRE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</si>
</sst>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\ &quot;ans&quot;"/>
    <numFmt numFmtId="165" formatCode="0.000%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vertAlign val="superscript"/>
      <sz val="10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43" fontId="0" fillId="2" borderId="1" xfId="1" applyFont="1" applyFill="1" applyBorder="1" applyProtection="1"/>
    <xf numFmtId="164" fontId="0" fillId="2" borderId="1" xfId="0" applyNumberFormat="1" applyFill="1" applyBorder="1" applyAlignment="1" applyProtection="1">
      <alignment horizontal="center"/>
    </xf>
    <xf numFmtId="43" fontId="0" fillId="2" borderId="1" xfId="0" applyNumberFormat="1" applyFill="1" applyBorder="1" applyProtection="1"/>
    <xf numFmtId="0" fontId="0" fillId="0" borderId="0" xfId="0" applyProtection="1">
      <protection locked="0"/>
    </xf>
    <xf numFmtId="0" fontId="0" fillId="0" borderId="2" xfId="0" applyBorder="1" applyProtection="1">
      <protection locked="0"/>
    </xf>
    <xf numFmtId="0" fontId="0" fillId="0" borderId="4" xfId="0" applyBorder="1" applyProtection="1"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" xfId="0" applyFill="1" applyBorder="1" applyProtection="1">
      <protection locked="0"/>
    </xf>
    <xf numFmtId="0" fontId="0" fillId="0" borderId="1" xfId="0" applyFill="1" applyBorder="1" applyAlignment="1" applyProtection="1">
      <alignment horizontal="center"/>
      <protection locked="0"/>
    </xf>
    <xf numFmtId="43" fontId="0" fillId="0" borderId="1" xfId="1" applyFont="1" applyFill="1" applyBorder="1" applyProtection="1">
      <protection locked="0"/>
    </xf>
    <xf numFmtId="0" fontId="0" fillId="0" borderId="5" xfId="0" applyFill="1" applyBorder="1" applyProtection="1">
      <protection locked="0"/>
    </xf>
    <xf numFmtId="9" fontId="0" fillId="0" borderId="6" xfId="0" applyNumberFormat="1" applyFill="1" applyBorder="1" applyProtection="1">
      <protection locked="0"/>
    </xf>
    <xf numFmtId="9" fontId="0" fillId="0" borderId="7" xfId="0" applyNumberFormat="1" applyFill="1" applyBorder="1" applyProtection="1">
      <protection locked="0"/>
    </xf>
    <xf numFmtId="43" fontId="0" fillId="0" borderId="8" xfId="1" applyFont="1" applyFill="1" applyBorder="1" applyProtection="1">
      <protection locked="0"/>
    </xf>
    <xf numFmtId="0" fontId="0" fillId="0" borderId="8" xfId="0" applyFill="1" applyBorder="1" applyProtection="1">
      <protection locked="0"/>
    </xf>
    <xf numFmtId="9" fontId="0" fillId="0" borderId="9" xfId="0" applyNumberFormat="1" applyFill="1" applyBorder="1" applyProtection="1">
      <protection locked="0"/>
    </xf>
    <xf numFmtId="165" fontId="5" fillId="0" borderId="1" xfId="0" applyNumberFormat="1" applyFont="1" applyFill="1" applyBorder="1" applyProtection="1">
      <protection locked="0"/>
    </xf>
    <xf numFmtId="0" fontId="7" fillId="0" borderId="0" xfId="0" applyFont="1" applyProtection="1">
      <protection locked="0"/>
    </xf>
    <xf numFmtId="43" fontId="0" fillId="3" borderId="1" xfId="0" applyNumberFormat="1" applyFill="1" applyBorder="1" applyProtection="1"/>
    <xf numFmtId="11" fontId="0" fillId="3" borderId="1" xfId="0" applyNumberFormat="1" applyFill="1" applyBorder="1" applyAlignment="1" applyProtection="1">
      <alignment horizontal="center"/>
    </xf>
    <xf numFmtId="0" fontId="1" fillId="0" borderId="3" xfId="0" applyFont="1" applyBorder="1" applyProtection="1">
      <protection locked="0"/>
    </xf>
    <xf numFmtId="0" fontId="4" fillId="0" borderId="0" xfId="0" applyFont="1" applyAlignment="1" applyProtection="1">
      <alignment horizontal="center"/>
      <protection locked="0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16893</xdr:colOff>
      <xdr:row>20</xdr:row>
      <xdr:rowOff>118434</xdr:rowOff>
    </xdr:from>
    <xdr:to>
      <xdr:col>9</xdr:col>
      <xdr:colOff>704490</xdr:colOff>
      <xdr:row>37</xdr:row>
      <xdr:rowOff>69372</xdr:rowOff>
    </xdr:to>
    <xdr:pic>
      <xdr:nvPicPr>
        <xdr:cNvPr id="1078" name="Picture 1" descr="looney_004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0148" y="3928434"/>
          <a:ext cx="2215191" cy="30330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4381</xdr:colOff>
      <xdr:row>34</xdr:row>
      <xdr:rowOff>8314</xdr:rowOff>
    </xdr:from>
    <xdr:to>
      <xdr:col>11</xdr:col>
      <xdr:colOff>63328</xdr:colOff>
      <xdr:row>38</xdr:row>
      <xdr:rowOff>31609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9027" y="6370295"/>
          <a:ext cx="822744" cy="742163"/>
        </a:xfrm>
        <a:prstGeom prst="rect">
          <a:avLst/>
        </a:prstGeom>
        <a:ln>
          <a:noFill/>
        </a:ln>
        <a:effectLst>
          <a:outerShdw blurRad="76200" dist="165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11</xdr:col>
      <xdr:colOff>530233</xdr:colOff>
      <xdr:row>33</xdr:row>
      <xdr:rowOff>81818</xdr:rowOff>
    </xdr:from>
    <xdr:to>
      <xdr:col>16</xdr:col>
      <xdr:colOff>1096162</xdr:colOff>
      <xdr:row>37</xdr:row>
      <xdr:rowOff>100868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9138676" y="6264082"/>
          <a:ext cx="5660906" cy="764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63500" dist="889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H" sz="18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Utiliser uniquement des références dans les formules !</a:t>
          </a:r>
          <a:r>
            <a:rPr lang="fr-CH" sz="1800"/>
            <a:t> </a:t>
          </a:r>
        </a:p>
        <a:p>
          <a:r>
            <a:rPr lang="fr-CH" sz="18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Créer les zones de saisie utiles en haut du tableau.</a:t>
          </a:r>
          <a:r>
            <a:rPr lang="fr-CH" sz="1800"/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zoomScale="106" zoomScaleNormal="106" workbookViewId="0">
      <selection sqref="A1:R1"/>
    </sheetView>
  </sheetViews>
  <sheetFormatPr baseColWidth="10" defaultRowHeight="12.75" x14ac:dyDescent="0.2"/>
  <cols>
    <col min="1" max="1" width="11.42578125" style="4"/>
    <col min="2" max="2" width="14.5703125" style="4" customWidth="1"/>
    <col min="3" max="11" width="11.42578125" style="4"/>
    <col min="12" max="12" width="19.140625" style="4" customWidth="1"/>
    <col min="13" max="13" width="14" style="4" customWidth="1"/>
    <col min="14" max="14" width="13.5703125" style="4" customWidth="1"/>
    <col min="15" max="15" width="16.42578125" style="4" customWidth="1"/>
    <col min="16" max="17" width="18.5703125" style="4" customWidth="1"/>
    <col min="18" max="16384" width="11.42578125" style="4"/>
  </cols>
  <sheetData>
    <row r="1" spans="1:18" ht="20.25" x14ac:dyDescent="0.3">
      <c r="A1" s="23" t="s">
        <v>38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3" spans="1:18" ht="13.5" thickBot="1" x14ac:dyDescent="0.25"/>
    <row r="4" spans="1:18" ht="22.5" customHeight="1" x14ac:dyDescent="0.2">
      <c r="A4" s="5" t="s">
        <v>28</v>
      </c>
      <c r="B4" s="12">
        <v>2018</v>
      </c>
      <c r="C4" s="12" t="s">
        <v>32</v>
      </c>
      <c r="D4" s="13">
        <v>0.02</v>
      </c>
    </row>
    <row r="5" spans="1:18" ht="22.5" customHeight="1" x14ac:dyDescent="0.2">
      <c r="A5" s="22" t="s">
        <v>29</v>
      </c>
      <c r="B5" s="18">
        <v>5.1249999999999997E-2</v>
      </c>
      <c r="C5" s="9" t="s">
        <v>33</v>
      </c>
      <c r="D5" s="14">
        <v>0.03</v>
      </c>
    </row>
    <row r="6" spans="1:18" ht="22.5" customHeight="1" thickBot="1" x14ac:dyDescent="0.25">
      <c r="A6" s="6" t="s">
        <v>30</v>
      </c>
      <c r="B6" s="15">
        <v>2500</v>
      </c>
      <c r="C6" s="16" t="s">
        <v>34</v>
      </c>
      <c r="D6" s="17">
        <v>0.04</v>
      </c>
    </row>
    <row r="8" spans="1:18" ht="14.25" x14ac:dyDescent="0.2">
      <c r="A8" s="7" t="s">
        <v>0</v>
      </c>
      <c r="B8" s="7" t="s">
        <v>1</v>
      </c>
      <c r="C8" s="7" t="s">
        <v>2</v>
      </c>
      <c r="D8" s="7" t="s">
        <v>3</v>
      </c>
      <c r="E8" s="7" t="s">
        <v>4</v>
      </c>
      <c r="F8" s="7" t="s">
        <v>5</v>
      </c>
      <c r="G8" s="7" t="s">
        <v>30</v>
      </c>
      <c r="H8" s="7" t="s">
        <v>22</v>
      </c>
      <c r="I8" s="7" t="s">
        <v>23</v>
      </c>
      <c r="J8" s="7" t="s">
        <v>24</v>
      </c>
      <c r="K8" s="7" t="s">
        <v>25</v>
      </c>
      <c r="L8" s="7" t="s">
        <v>26</v>
      </c>
      <c r="M8" s="7" t="s">
        <v>27</v>
      </c>
      <c r="N8" s="7" t="s">
        <v>31</v>
      </c>
      <c r="O8" s="7" t="s">
        <v>73</v>
      </c>
      <c r="P8" s="7" t="s">
        <v>35</v>
      </c>
      <c r="Q8" s="7" t="s">
        <v>36</v>
      </c>
    </row>
    <row r="9" spans="1:18" x14ac:dyDescent="0.2">
      <c r="A9" s="10">
        <v>1</v>
      </c>
      <c r="B9" s="9" t="s">
        <v>6</v>
      </c>
      <c r="C9" s="9" t="s">
        <v>37</v>
      </c>
      <c r="D9" s="10">
        <v>1948</v>
      </c>
      <c r="E9" s="10" t="s">
        <v>19</v>
      </c>
      <c r="F9" s="11">
        <v>100000</v>
      </c>
      <c r="G9" s="1">
        <f>$B$6</f>
        <v>2500</v>
      </c>
      <c r="H9" s="2">
        <f>$B$4-D9</f>
        <v>70</v>
      </c>
      <c r="I9" s="1">
        <f>IF(E9="A",$D$4*F9,IF(E9="B",$D$5*F9,$D$6*F9))</f>
        <v>2000</v>
      </c>
      <c r="J9" s="1">
        <f>IF(H9&lt;20,0,IF(H9&lt;50,200,500))</f>
        <v>500</v>
      </c>
      <c r="K9" s="1">
        <f>IF(F9&lt;100000,1%*F9,IF(F9&lt;=150000,3%*F9,5%*F9))</f>
        <v>3000</v>
      </c>
      <c r="L9" s="3">
        <f>G9+I9+J9+K9</f>
        <v>8000</v>
      </c>
      <c r="M9" s="3">
        <f t="shared" ref="M9:M15" si="0">L9*$B$5</f>
        <v>410</v>
      </c>
      <c r="N9" s="3">
        <f t="shared" ref="N9:N15" si="1">INT((L9-M9)*20+0.5)/20</f>
        <v>7590</v>
      </c>
      <c r="O9" s="3">
        <f t="shared" ref="O9:O15" si="2">IF(H9&lt;20,0,IF(H9&lt;=50,L9/2,L9))</f>
        <v>8000</v>
      </c>
      <c r="P9" s="20">
        <f t="shared" ref="P9:P15" si="3">INT((12*N9+O9)*20+0.5)/20</f>
        <v>99080</v>
      </c>
      <c r="Q9" s="21" t="str">
        <f>IF(H9&lt;18,"8 semaines",IF(H9&lt;=50,"6 semaines","7 semaines"))</f>
        <v>7 semaines</v>
      </c>
    </row>
    <row r="10" spans="1:18" x14ac:dyDescent="0.2">
      <c r="A10" s="10">
        <v>2</v>
      </c>
      <c r="B10" s="9" t="s">
        <v>7</v>
      </c>
      <c r="C10" s="9" t="s">
        <v>13</v>
      </c>
      <c r="D10" s="10">
        <v>2001</v>
      </c>
      <c r="E10" s="10" t="s">
        <v>20</v>
      </c>
      <c r="F10" s="11">
        <v>150000</v>
      </c>
      <c r="G10" s="1">
        <f t="shared" ref="G10:G15" si="4">$B$6</f>
        <v>2500</v>
      </c>
      <c r="H10" s="2">
        <f t="shared" ref="H10:H15" si="5">$B$4-D10</f>
        <v>17</v>
      </c>
      <c r="I10" s="1">
        <f t="shared" ref="I10:I15" si="6">IF(E10="A",$D$4*F10,IF(E10="B",$D$5*F10,$D$6*F10))</f>
        <v>4500</v>
      </c>
      <c r="J10" s="1">
        <f t="shared" ref="J10:J15" si="7">IF(H10&lt;20,0,IF(H10&lt;50,200,500))</f>
        <v>0</v>
      </c>
      <c r="K10" s="1">
        <f t="shared" ref="K10:K15" si="8">IF(F10&lt;100000,1%*F10,IF(F10&lt;=150000,3%*F10,5%*F10))</f>
        <v>4500</v>
      </c>
      <c r="L10" s="3">
        <f t="shared" ref="L10:L15" si="9">G10+I10+J10+K10</f>
        <v>11500</v>
      </c>
      <c r="M10" s="3">
        <f t="shared" si="0"/>
        <v>589.375</v>
      </c>
      <c r="N10" s="3">
        <f t="shared" si="1"/>
        <v>10910.65</v>
      </c>
      <c r="O10" s="3">
        <f t="shared" si="2"/>
        <v>0</v>
      </c>
      <c r="P10" s="20">
        <f t="shared" si="3"/>
        <v>130927.8</v>
      </c>
      <c r="Q10" s="21" t="str">
        <f t="shared" ref="Q10:Q15" si="10">IF(H10&lt;18,"8 semaines",IF(H10&lt;=50,"6 semaines","7 semaines"))</f>
        <v>8 semaines</v>
      </c>
    </row>
    <row r="11" spans="1:18" x14ac:dyDescent="0.2">
      <c r="A11" s="10">
        <v>3</v>
      </c>
      <c r="B11" s="9" t="s">
        <v>8</v>
      </c>
      <c r="C11" s="9" t="s">
        <v>14</v>
      </c>
      <c r="D11" s="10">
        <v>1990</v>
      </c>
      <c r="E11" s="10" t="s">
        <v>20</v>
      </c>
      <c r="F11" s="11">
        <v>85000</v>
      </c>
      <c r="G11" s="1">
        <f t="shared" si="4"/>
        <v>2500</v>
      </c>
      <c r="H11" s="2">
        <f t="shared" si="5"/>
        <v>28</v>
      </c>
      <c r="I11" s="1">
        <f t="shared" si="6"/>
        <v>2550</v>
      </c>
      <c r="J11" s="1">
        <f t="shared" si="7"/>
        <v>200</v>
      </c>
      <c r="K11" s="1">
        <f t="shared" si="8"/>
        <v>850</v>
      </c>
      <c r="L11" s="3">
        <f t="shared" si="9"/>
        <v>6100</v>
      </c>
      <c r="M11" s="3">
        <f t="shared" si="0"/>
        <v>312.625</v>
      </c>
      <c r="N11" s="3">
        <f t="shared" si="1"/>
        <v>5787.4</v>
      </c>
      <c r="O11" s="3">
        <f t="shared" si="2"/>
        <v>3050</v>
      </c>
      <c r="P11" s="20">
        <f t="shared" si="3"/>
        <v>72498.8</v>
      </c>
      <c r="Q11" s="21" t="str">
        <f t="shared" si="10"/>
        <v>6 semaines</v>
      </c>
    </row>
    <row r="12" spans="1:18" x14ac:dyDescent="0.2">
      <c r="A12" s="10">
        <v>4</v>
      </c>
      <c r="B12" s="9" t="s">
        <v>9</v>
      </c>
      <c r="C12" s="9" t="s">
        <v>15</v>
      </c>
      <c r="D12" s="10">
        <v>1965</v>
      </c>
      <c r="E12" s="10" t="s">
        <v>21</v>
      </c>
      <c r="F12" s="11">
        <v>155000</v>
      </c>
      <c r="G12" s="1">
        <f t="shared" si="4"/>
        <v>2500</v>
      </c>
      <c r="H12" s="2">
        <f t="shared" si="5"/>
        <v>53</v>
      </c>
      <c r="I12" s="1">
        <f t="shared" si="6"/>
        <v>6200</v>
      </c>
      <c r="J12" s="1">
        <f t="shared" si="7"/>
        <v>500</v>
      </c>
      <c r="K12" s="1">
        <f t="shared" si="8"/>
        <v>7750</v>
      </c>
      <c r="L12" s="3">
        <f t="shared" si="9"/>
        <v>16950</v>
      </c>
      <c r="M12" s="3">
        <f t="shared" si="0"/>
        <v>868.6875</v>
      </c>
      <c r="N12" s="3">
        <f t="shared" si="1"/>
        <v>16081.3</v>
      </c>
      <c r="O12" s="3">
        <f t="shared" si="2"/>
        <v>16950</v>
      </c>
      <c r="P12" s="20">
        <f t="shared" si="3"/>
        <v>209925.6</v>
      </c>
      <c r="Q12" s="21" t="str">
        <f t="shared" si="10"/>
        <v>7 semaines</v>
      </c>
    </row>
    <row r="13" spans="1:18" x14ac:dyDescent="0.2">
      <c r="A13" s="10">
        <v>5</v>
      </c>
      <c r="B13" s="9" t="s">
        <v>10</v>
      </c>
      <c r="C13" s="9" t="s">
        <v>16</v>
      </c>
      <c r="D13" s="10">
        <v>1987</v>
      </c>
      <c r="E13" s="10" t="s">
        <v>19</v>
      </c>
      <c r="F13" s="11">
        <v>135000</v>
      </c>
      <c r="G13" s="1">
        <f t="shared" si="4"/>
        <v>2500</v>
      </c>
      <c r="H13" s="2">
        <f t="shared" si="5"/>
        <v>31</v>
      </c>
      <c r="I13" s="1">
        <f t="shared" si="6"/>
        <v>2700</v>
      </c>
      <c r="J13" s="1">
        <f t="shared" si="7"/>
        <v>200</v>
      </c>
      <c r="K13" s="1">
        <f t="shared" si="8"/>
        <v>4050</v>
      </c>
      <c r="L13" s="3">
        <f t="shared" si="9"/>
        <v>9450</v>
      </c>
      <c r="M13" s="3">
        <f t="shared" si="0"/>
        <v>484.31249999999994</v>
      </c>
      <c r="N13" s="3">
        <f t="shared" si="1"/>
        <v>8965.7000000000007</v>
      </c>
      <c r="O13" s="3">
        <f t="shared" si="2"/>
        <v>4725</v>
      </c>
      <c r="P13" s="20">
        <f t="shared" si="3"/>
        <v>112313.4</v>
      </c>
      <c r="Q13" s="21" t="str">
        <f t="shared" si="10"/>
        <v>6 semaines</v>
      </c>
    </row>
    <row r="14" spans="1:18" x14ac:dyDescent="0.2">
      <c r="A14" s="10">
        <v>6</v>
      </c>
      <c r="B14" s="9" t="s">
        <v>11</v>
      </c>
      <c r="C14" s="9" t="s">
        <v>17</v>
      </c>
      <c r="D14" s="10">
        <v>1992</v>
      </c>
      <c r="E14" s="10" t="s">
        <v>21</v>
      </c>
      <c r="F14" s="11">
        <v>60000</v>
      </c>
      <c r="G14" s="1">
        <f t="shared" si="4"/>
        <v>2500</v>
      </c>
      <c r="H14" s="2">
        <f t="shared" si="5"/>
        <v>26</v>
      </c>
      <c r="I14" s="1">
        <f t="shared" si="6"/>
        <v>2400</v>
      </c>
      <c r="J14" s="1">
        <f t="shared" si="7"/>
        <v>200</v>
      </c>
      <c r="K14" s="1">
        <f t="shared" si="8"/>
        <v>600</v>
      </c>
      <c r="L14" s="3">
        <f t="shared" si="9"/>
        <v>5700</v>
      </c>
      <c r="M14" s="3">
        <f t="shared" si="0"/>
        <v>292.125</v>
      </c>
      <c r="N14" s="3">
        <f t="shared" si="1"/>
        <v>5407.9</v>
      </c>
      <c r="O14" s="3">
        <f t="shared" si="2"/>
        <v>2850</v>
      </c>
      <c r="P14" s="20">
        <f t="shared" si="3"/>
        <v>67744.800000000003</v>
      </c>
      <c r="Q14" s="21" t="str">
        <f t="shared" si="10"/>
        <v>6 semaines</v>
      </c>
    </row>
    <row r="15" spans="1:18" x14ac:dyDescent="0.2">
      <c r="A15" s="10">
        <v>7</v>
      </c>
      <c r="B15" s="9" t="s">
        <v>12</v>
      </c>
      <c r="C15" s="9" t="s">
        <v>18</v>
      </c>
      <c r="D15" s="10">
        <v>1995</v>
      </c>
      <c r="E15" s="10" t="s">
        <v>20</v>
      </c>
      <c r="F15" s="11">
        <v>50000</v>
      </c>
      <c r="G15" s="1">
        <f t="shared" si="4"/>
        <v>2500</v>
      </c>
      <c r="H15" s="2">
        <f t="shared" si="5"/>
        <v>23</v>
      </c>
      <c r="I15" s="1">
        <f t="shared" si="6"/>
        <v>1500</v>
      </c>
      <c r="J15" s="1">
        <f t="shared" si="7"/>
        <v>200</v>
      </c>
      <c r="K15" s="1">
        <f t="shared" si="8"/>
        <v>500</v>
      </c>
      <c r="L15" s="3">
        <f t="shared" si="9"/>
        <v>4700</v>
      </c>
      <c r="M15" s="3">
        <f t="shared" si="0"/>
        <v>240.87499999999997</v>
      </c>
      <c r="N15" s="3">
        <f t="shared" si="1"/>
        <v>4459.1499999999996</v>
      </c>
      <c r="O15" s="3">
        <f t="shared" si="2"/>
        <v>2350</v>
      </c>
      <c r="P15" s="20">
        <f t="shared" si="3"/>
        <v>55859.8</v>
      </c>
      <c r="Q15" s="21" t="str">
        <f t="shared" si="10"/>
        <v>6 semaines</v>
      </c>
    </row>
    <row r="16" spans="1:18" x14ac:dyDescent="0.2">
      <c r="D16" s="8"/>
      <c r="E16" s="8"/>
    </row>
    <row r="17" spans="1:18" ht="16.5" x14ac:dyDescent="0.2">
      <c r="A17" s="19" t="s">
        <v>67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 t="s">
        <v>71</v>
      </c>
      <c r="M17" s="19" t="s">
        <v>55</v>
      </c>
      <c r="N17" s="19"/>
      <c r="O17" s="19"/>
      <c r="P17" s="19"/>
      <c r="Q17" s="19"/>
      <c r="R17" s="19"/>
    </row>
    <row r="18" spans="1:18" ht="14.25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 t="s">
        <v>56</v>
      </c>
      <c r="N18" s="19"/>
      <c r="O18" s="19"/>
      <c r="P18" s="19"/>
      <c r="Q18" s="19"/>
      <c r="R18" s="19"/>
    </row>
    <row r="19" spans="1:18" ht="14.25" x14ac:dyDescent="0.2">
      <c r="A19" s="19" t="s">
        <v>68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 t="s">
        <v>57</v>
      </c>
      <c r="N19" s="19"/>
      <c r="O19" s="19"/>
      <c r="P19" s="19"/>
      <c r="Q19" s="19"/>
      <c r="R19" s="19"/>
    </row>
    <row r="20" spans="1:18" ht="14.25" x14ac:dyDescent="0.2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</row>
    <row r="21" spans="1:18" ht="16.5" x14ac:dyDescent="0.2">
      <c r="A21" s="19" t="s">
        <v>39</v>
      </c>
      <c r="B21" s="19" t="s">
        <v>44</v>
      </c>
      <c r="C21" s="19"/>
      <c r="D21" s="19"/>
      <c r="E21" s="19"/>
      <c r="F21" s="19"/>
      <c r="G21" s="19"/>
      <c r="H21" s="19"/>
      <c r="I21" s="19"/>
      <c r="J21" s="19"/>
      <c r="K21" s="19"/>
      <c r="L21" s="19" t="s">
        <v>66</v>
      </c>
      <c r="M21" s="19"/>
      <c r="O21" s="19"/>
      <c r="P21" s="19"/>
      <c r="Q21" s="19"/>
      <c r="R21" s="19"/>
    </row>
    <row r="22" spans="1:18" ht="14.25" x14ac:dyDescent="0.2">
      <c r="A22" s="19"/>
      <c r="B22" s="19" t="s">
        <v>45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O22" s="19"/>
      <c r="P22" s="19"/>
      <c r="Q22" s="19"/>
      <c r="R22" s="19"/>
    </row>
    <row r="23" spans="1:18" ht="14.25" x14ac:dyDescent="0.2">
      <c r="A23" s="19"/>
      <c r="B23" s="19" t="s">
        <v>46</v>
      </c>
      <c r="C23" s="19"/>
      <c r="D23" s="19"/>
      <c r="E23" s="19"/>
      <c r="F23" s="19"/>
      <c r="G23" s="19"/>
      <c r="H23" s="19"/>
      <c r="I23" s="19"/>
      <c r="J23" s="19"/>
      <c r="K23" s="19"/>
      <c r="L23" s="19" t="s">
        <v>42</v>
      </c>
      <c r="M23" s="19" t="s">
        <v>59</v>
      </c>
      <c r="O23" s="19"/>
      <c r="P23" s="19"/>
      <c r="Q23" s="19"/>
      <c r="R23" s="19"/>
    </row>
    <row r="24" spans="1:18" ht="14.25" x14ac:dyDescent="0.2">
      <c r="A24" s="19"/>
      <c r="B24" s="19" t="s">
        <v>47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 t="s">
        <v>58</v>
      </c>
      <c r="O24" s="19"/>
      <c r="P24" s="19"/>
      <c r="Q24" s="19"/>
      <c r="R24" s="19"/>
    </row>
    <row r="25" spans="1:18" ht="14.25" x14ac:dyDescent="0.2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 t="s">
        <v>60</v>
      </c>
      <c r="O25" s="19"/>
      <c r="P25" s="19"/>
      <c r="Q25" s="19"/>
      <c r="R25" s="19"/>
    </row>
    <row r="26" spans="1:18" ht="14.25" x14ac:dyDescent="0.2">
      <c r="A26" s="19" t="s">
        <v>40</v>
      </c>
      <c r="B26" s="19" t="s">
        <v>48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O26" s="19"/>
      <c r="P26" s="19"/>
      <c r="Q26" s="19"/>
      <c r="R26" s="19"/>
    </row>
    <row r="27" spans="1:18" ht="14.25" x14ac:dyDescent="0.2">
      <c r="A27" s="19"/>
      <c r="B27" s="19" t="s">
        <v>49</v>
      </c>
      <c r="C27" s="19"/>
      <c r="D27" s="19"/>
      <c r="E27" s="19"/>
      <c r="F27" s="19"/>
      <c r="G27" s="19"/>
      <c r="H27" s="19"/>
      <c r="I27" s="19"/>
      <c r="J27" s="19"/>
      <c r="K27" s="19"/>
      <c r="L27" s="19" t="s">
        <v>43</v>
      </c>
      <c r="M27" s="19"/>
      <c r="O27" s="19"/>
      <c r="P27" s="19"/>
      <c r="Q27" s="19"/>
      <c r="R27" s="19"/>
    </row>
    <row r="28" spans="1:18" ht="14.25" x14ac:dyDescent="0.2">
      <c r="A28" s="19"/>
      <c r="B28" s="19" t="s">
        <v>50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 t="s">
        <v>61</v>
      </c>
      <c r="O28" s="19"/>
      <c r="P28" s="19"/>
      <c r="Q28" s="19"/>
      <c r="R28" s="19"/>
    </row>
    <row r="29" spans="1:18" ht="14.25" x14ac:dyDescent="0.2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 t="s">
        <v>62</v>
      </c>
      <c r="O29" s="19"/>
      <c r="P29" s="19"/>
      <c r="Q29" s="19"/>
      <c r="R29" s="19"/>
    </row>
    <row r="30" spans="1:18" ht="14.25" x14ac:dyDescent="0.2">
      <c r="A30" s="19" t="s">
        <v>41</v>
      </c>
      <c r="B30" s="19" t="s">
        <v>51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 t="s">
        <v>63</v>
      </c>
      <c r="O30" s="19"/>
      <c r="P30" s="19"/>
      <c r="Q30" s="19"/>
      <c r="R30" s="19"/>
    </row>
    <row r="31" spans="1:18" ht="14.25" x14ac:dyDescent="0.2">
      <c r="A31" s="19"/>
      <c r="B31" s="19" t="s">
        <v>52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 t="s">
        <v>64</v>
      </c>
      <c r="O31" s="19"/>
      <c r="P31" s="19"/>
      <c r="Q31" s="19"/>
      <c r="R31" s="19"/>
    </row>
    <row r="32" spans="1:18" ht="14.25" x14ac:dyDescent="0.2">
      <c r="A32" s="19"/>
      <c r="B32" s="19" t="s">
        <v>53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 t="s">
        <v>65</v>
      </c>
      <c r="O32" s="19"/>
      <c r="P32" s="19"/>
      <c r="Q32" s="19"/>
      <c r="R32" s="19"/>
    </row>
    <row r="33" spans="1:18" ht="14.25" x14ac:dyDescent="0.2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</row>
    <row r="34" spans="1:18" ht="14.25" x14ac:dyDescent="0.2">
      <c r="A34" s="19" t="s">
        <v>54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</row>
    <row r="35" spans="1:18" ht="14.25" x14ac:dyDescent="0.2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</row>
    <row r="36" spans="1:18" ht="14.25" x14ac:dyDescent="0.2">
      <c r="A36" s="19" t="s">
        <v>72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</row>
    <row r="37" spans="1:18" ht="14.25" x14ac:dyDescent="0.2"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</row>
    <row r="38" spans="1:18" ht="14.25" x14ac:dyDescent="0.2">
      <c r="A38" s="19" t="s">
        <v>70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</row>
    <row r="39" spans="1:18" ht="14.25" x14ac:dyDescent="0.2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</row>
    <row r="40" spans="1:18" ht="14.25" x14ac:dyDescent="0.2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</row>
    <row r="41" spans="1:18" ht="14.25" x14ac:dyDescent="0.2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</row>
    <row r="42" spans="1:18" ht="14.25" x14ac:dyDescent="0.2">
      <c r="E42" s="19"/>
      <c r="F42" s="19"/>
      <c r="G42" s="19" t="s">
        <v>69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</row>
    <row r="43" spans="1:18" ht="14.25" x14ac:dyDescent="0.2">
      <c r="A43" s="19"/>
      <c r="B43" s="19"/>
    </row>
    <row r="44" spans="1:18" ht="14.25" x14ac:dyDescent="0.2">
      <c r="A44" s="19"/>
      <c r="B44" s="19"/>
    </row>
    <row r="45" spans="1:18" ht="14.25" x14ac:dyDescent="0.2">
      <c r="A45" s="19"/>
      <c r="B45" s="19"/>
    </row>
  </sheetData>
  <sheetProtection formatCells="0" selectLockedCells="1"/>
  <mergeCells count="1">
    <mergeCell ref="A1:R1"/>
  </mergeCells>
  <phoneticPr fontId="3" type="noConversion"/>
  <printOptions headings="1"/>
  <pageMargins left="0.43307086614173229" right="0.19685039370078741" top="1.1023622047244095" bottom="0.59055118110236227" header="0.51181102362204722" footer="0.51181102362204722"/>
  <pageSetup paperSize="9" scale="59" orientation="landscape" r:id="rId1"/>
  <headerFooter alignWithMargins="0">
    <oddFooter>&amp;CDrill, fonctions SI multiples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Drill, fonctions SI multiples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CFPS</dc:creator>
  <cp:lastModifiedBy>Michèle Grosset-Bovier</cp:lastModifiedBy>
  <cp:lastPrinted>2021-02-06T16:53:02Z</cp:lastPrinted>
  <dcterms:created xsi:type="dcterms:W3CDTF">2010-01-15T12:04:07Z</dcterms:created>
  <dcterms:modified xsi:type="dcterms:W3CDTF">2021-02-06T16:53:08Z</dcterms:modified>
</cp:coreProperties>
</file>