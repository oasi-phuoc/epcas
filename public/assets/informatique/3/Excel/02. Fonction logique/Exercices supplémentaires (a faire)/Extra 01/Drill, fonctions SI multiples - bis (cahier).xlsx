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0000000 - 2021-2022- Support de cours\1re année\1re, ICA-I\1re, I - cahier exercice\Sem. 2\"/>
    </mc:Choice>
  </mc:AlternateContent>
  <xr:revisionPtr revIDLastSave="0" documentId="13_ncr:1_{14DC5C5F-4756-440F-9DBA-15B735EF6423}" xr6:coauthVersionLast="36" xr6:coauthVersionMax="36" xr10:uidLastSave="{00000000-0000-0000-0000-000000000000}"/>
  <bookViews>
    <workbookView xWindow="480" yWindow="60" windowWidth="10380" windowHeight="5775" xr2:uid="{00000000-000D-0000-FFFF-FFFF00000000}"/>
  </bookViews>
  <sheets>
    <sheet name="Drill, fonctions SI multiples" sheetId="1" r:id="rId1"/>
  </sheets>
  <definedNames>
    <definedName name="_xlnm.Print_Area" localSheetId="0">'Drill, fonctions SI multiples'!$A$1:$N$54</definedName>
  </definedNames>
  <calcPr calcId="191029"/>
</workbook>
</file>

<file path=xl/calcChain.xml><?xml version="1.0" encoding="utf-8"?>
<calcChain xmlns="http://schemas.openxmlformats.org/spreadsheetml/2006/main">
  <c r="I9" i="1" l="1"/>
  <c r="I10" i="1"/>
  <c r="I11" i="1"/>
  <c r="I12" i="1"/>
  <c r="I13" i="1"/>
  <c r="I14" i="1"/>
  <c r="I8" i="1"/>
  <c r="L9" i="1" l="1"/>
  <c r="L10" i="1"/>
  <c r="L11" i="1"/>
  <c r="L12" i="1"/>
  <c r="L13" i="1"/>
  <c r="L14" i="1"/>
  <c r="L8" i="1"/>
  <c r="K13" i="1"/>
  <c r="K14" i="1"/>
  <c r="J9" i="1"/>
  <c r="J10" i="1"/>
  <c r="J11" i="1"/>
  <c r="J12" i="1"/>
  <c r="J13" i="1"/>
  <c r="J14" i="1"/>
  <c r="J8" i="1"/>
  <c r="H9" i="1"/>
  <c r="H10" i="1"/>
  <c r="H11" i="1"/>
  <c r="H12" i="1"/>
  <c r="H13" i="1"/>
  <c r="H14" i="1"/>
  <c r="H8" i="1"/>
  <c r="K12" i="1"/>
  <c r="M12" i="1" s="1"/>
  <c r="K9" i="1"/>
  <c r="K8" i="1"/>
  <c r="K10" i="1"/>
  <c r="K11" i="1"/>
  <c r="M9" i="1" l="1"/>
  <c r="M13" i="1"/>
  <c r="M11" i="1"/>
  <c r="N11" i="1" s="1"/>
  <c r="K22" i="1" s="1"/>
  <c r="L22" i="1" s="1"/>
  <c r="M22" i="1" s="1"/>
  <c r="M10" i="1"/>
  <c r="M8" i="1"/>
  <c r="M14" i="1"/>
  <c r="N8" i="1"/>
  <c r="K19" i="1" s="1"/>
  <c r="N9" i="1"/>
  <c r="K20" i="1" s="1"/>
  <c r="N14" i="1"/>
  <c r="N12" i="1"/>
  <c r="K23" i="1" s="1"/>
  <c r="N13" i="1"/>
  <c r="K24" i="1" s="1"/>
  <c r="N10" i="1" l="1"/>
  <c r="K21" i="1" s="1"/>
  <c r="L21" i="1" s="1"/>
  <c r="M21" i="1" s="1"/>
  <c r="K25" i="1"/>
  <c r="L25" i="1"/>
  <c r="M25" i="1" s="1"/>
  <c r="L24" i="1"/>
  <c r="M24" i="1" s="1"/>
  <c r="L23" i="1"/>
  <c r="M23" i="1" s="1"/>
  <c r="L20" i="1"/>
  <c r="M20" i="1" s="1"/>
  <c r="L19" i="1"/>
  <c r="M19" i="1" s="1"/>
  <c r="N21" i="1" l="1"/>
  <c r="N25" i="1"/>
  <c r="N22" i="1"/>
  <c r="N19" i="1"/>
  <c r="N23" i="1"/>
  <c r="N20" i="1"/>
  <c r="N24" i="1"/>
</calcChain>
</file>

<file path=xl/sharedStrings.xml><?xml version="1.0" encoding="utf-8"?>
<sst xmlns="http://schemas.openxmlformats.org/spreadsheetml/2006/main" count="80" uniqueCount="70">
  <si>
    <t>NO</t>
  </si>
  <si>
    <t>NOM</t>
  </si>
  <si>
    <t>PRENOM</t>
  </si>
  <si>
    <t>NAISSANCE</t>
  </si>
  <si>
    <t>CAT</t>
  </si>
  <si>
    <t>CA</t>
  </si>
  <si>
    <t>AYMON</t>
  </si>
  <si>
    <t>GRANGES</t>
  </si>
  <si>
    <t>DUBUIS</t>
  </si>
  <si>
    <t>REY</t>
  </si>
  <si>
    <t>DUC</t>
  </si>
  <si>
    <t>DUPOND</t>
  </si>
  <si>
    <t>SALAMIN</t>
  </si>
  <si>
    <t>LUC</t>
  </si>
  <si>
    <t>BOB</t>
  </si>
  <si>
    <t>CHARLES</t>
  </si>
  <si>
    <t>ALPHONSE</t>
  </si>
  <si>
    <t>NADIA</t>
  </si>
  <si>
    <t>FELIX</t>
  </si>
  <si>
    <t>ANNE</t>
  </si>
  <si>
    <t>A</t>
  </si>
  <si>
    <t>B</t>
  </si>
  <si>
    <t>C</t>
  </si>
  <si>
    <t>AGE</t>
  </si>
  <si>
    <t>PRIME 1</t>
  </si>
  <si>
    <t>PRIME 2</t>
  </si>
  <si>
    <t>PRIME 3</t>
  </si>
  <si>
    <t>ANNEE</t>
  </si>
  <si>
    <t>TAUX AVS</t>
  </si>
  <si>
    <t>BASE</t>
  </si>
  <si>
    <t>PRIME cat A</t>
  </si>
  <si>
    <t>PRIME cat B</t>
  </si>
  <si>
    <t>PRIME cat C</t>
  </si>
  <si>
    <t>SALAIRE MENS.</t>
  </si>
  <si>
    <t>SALAIRE BRUT AN.</t>
  </si>
  <si>
    <t>SALAIRE NET AN.</t>
  </si>
  <si>
    <t>APPRENTI</t>
  </si>
  <si>
    <t>oui</t>
  </si>
  <si>
    <t>non</t>
  </si>
  <si>
    <r>
      <t>13</t>
    </r>
    <r>
      <rPr>
        <b/>
        <vertAlign val="superscript"/>
        <sz val="10"/>
        <rFont val="Arial"/>
        <family val="2"/>
      </rPr>
      <t>e</t>
    </r>
    <r>
      <rPr>
        <b/>
        <sz val="10"/>
        <rFont val="Arial"/>
        <family val="2"/>
      </rPr>
      <t xml:space="preserve"> SALAIRE</t>
    </r>
  </si>
  <si>
    <t>AVS ANNUELLE</t>
  </si>
  <si>
    <t>2. Calculer l'âge des employés dans la colonne I (35 ans).</t>
  </si>
  <si>
    <t>Utiliser la zone de saisie D3 à D5.</t>
  </si>
  <si>
    <t>Plus de Fr. 150'000, 5 % du CA en prime.</t>
  </si>
  <si>
    <t>1 salaire supplémentaire pour les plus de 50 ans.</t>
  </si>
  <si>
    <t>7. Calculer le salaire brut annuel.</t>
  </si>
  <si>
    <t>8. Calculer l'AVS annuelle.</t>
  </si>
  <si>
    <t>Nommer les cellules en paramètres et utiliser les noms dans tous les calculs y relatifs.</t>
  </si>
  <si>
    <t>POURCENTAGE</t>
  </si>
  <si>
    <t>12. Protéger toutes les cellules comportant des calculs. Celles-ci ne doivent pas pouvoir être sélectionnées.</t>
  </si>
  <si>
    <r>
      <t>5. Calculer dans la colonne M, le salaire mensuel brut sans 13</t>
    </r>
    <r>
      <rPr>
        <vertAlign val="superscript"/>
        <sz val="11"/>
        <rFont val="Arial"/>
        <family val="2"/>
      </rPr>
      <t>e</t>
    </r>
    <r>
      <rPr>
        <sz val="11"/>
        <rFont val="Arial"/>
        <family val="2"/>
      </rPr>
      <t>.</t>
    </r>
  </si>
  <si>
    <t>Drill, fonctions SI multiples - bis</t>
  </si>
  <si>
    <t>3. Prime 1 :</t>
  </si>
  <si>
    <t>3. Prime 2 :</t>
  </si>
  <si>
    <t>4. Prime 3 :</t>
  </si>
  <si>
    <t>S'il s'agit d'un apprenti, pas de prime ;</t>
  </si>
  <si>
    <t>La prime est de 200 fr. pour les employés de moins de 40 ans ;</t>
  </si>
  <si>
    <t>Si le CA est inférieur à Fr. 100'000.-, 1 % du CA en prime ;</t>
  </si>
  <si>
    <t>De Fr. 100'000.- à Fr. 150'000.-, 3 % du CA en prime ;</t>
  </si>
  <si>
    <r>
      <t>Si l'âge est inférieur à 20 ans, pas de 13</t>
    </r>
    <r>
      <rPr>
        <vertAlign val="superscript"/>
        <sz val="11"/>
        <rFont val="Arial"/>
        <family val="2"/>
      </rPr>
      <t>e</t>
    </r>
    <r>
      <rPr>
        <sz val="11"/>
        <rFont val="Arial"/>
        <family val="2"/>
      </rPr>
      <t xml:space="preserve"> ;</t>
    </r>
  </si>
  <si>
    <t>De 20 à 50 ans, 1/2 salaire en plus ;</t>
  </si>
  <si>
    <t>11. Faire afficher les années de naissance supérieures ou égales à 1990 en rouge.</t>
  </si>
  <si>
    <t xml:space="preserve">  9. Calculer le salaire net annuel, arrondi à 50 ct.</t>
  </si>
  <si>
    <r>
      <t xml:space="preserve">10. Calculer, </t>
    </r>
    <r>
      <rPr>
        <b/>
        <sz val="11"/>
        <rFont val="Arial"/>
        <family val="2"/>
      </rPr>
      <t>sans rajout de données dans la feuille de calcul,</t>
    </r>
    <r>
      <rPr>
        <sz val="11"/>
        <rFont val="Arial"/>
        <family val="2"/>
      </rPr>
      <t xml:space="preserve"> le pourcentage de chaque salaire net annuel, affiché sous la forme 13.16 %.</t>
    </r>
    <r>
      <rPr>
        <b/>
        <sz val="11"/>
        <rFont val="Arial"/>
        <family val="2"/>
      </rPr>
      <t xml:space="preserve"> </t>
    </r>
  </si>
  <si>
    <t>1. Afficher, dans la colonne H, le salaire de base de chaque employé.</t>
  </si>
  <si>
    <t>La prime est de 500 fr. dès 40 ans, y compris.</t>
  </si>
  <si>
    <t>Si les employés sont de catégorie A, ils ont 1.26 % du CA en prime ;</t>
  </si>
  <si>
    <t>Si les employés sont de catégorie B, ils ont 2.03 % du CA en prime ;</t>
  </si>
  <si>
    <t>Si les employés sont de catégorie C, ils ont 3.46 % du CA en prime ;</t>
  </si>
  <si>
    <r>
      <t>6. (Colonne N) 13</t>
    </r>
    <r>
      <rPr>
        <vertAlign val="superscript"/>
        <sz val="11"/>
        <rFont val="Arial"/>
        <family val="2"/>
      </rPr>
      <t>e</t>
    </r>
    <r>
      <rPr>
        <sz val="11"/>
        <rFont val="Arial"/>
        <family val="2"/>
      </rPr>
      <t xml:space="preserve"> 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</si>
</sst>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\ &quot;ans&quot;"/>
    <numFmt numFmtId="165" formatCode="0.000%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b/>
      <vertAlign val="superscript"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43" fontId="0" fillId="0" borderId="1" xfId="1" applyFont="1" applyBorder="1"/>
    <xf numFmtId="43" fontId="0" fillId="2" borderId="1" xfId="1" applyFont="1" applyFill="1" applyBorder="1"/>
    <xf numFmtId="43" fontId="0" fillId="2" borderId="1" xfId="0" applyNumberFormat="1" applyFill="1" applyBorder="1"/>
    <xf numFmtId="43" fontId="0" fillId="0" borderId="8" xfId="1" applyFont="1" applyBorder="1"/>
    <xf numFmtId="0" fontId="4" fillId="0" borderId="0" xfId="0" applyFont="1" applyAlignment="1">
      <alignment horizontal="center"/>
    </xf>
    <xf numFmtId="0" fontId="0" fillId="0" borderId="0" xfId="0" applyBorder="1"/>
    <xf numFmtId="165" fontId="0" fillId="0" borderId="1" xfId="0" applyNumberFormat="1" applyBorder="1"/>
    <xf numFmtId="10" fontId="0" fillId="2" borderId="1" xfId="2" applyNumberFormat="1" applyFont="1" applyFill="1" applyBorder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Border="1"/>
    <xf numFmtId="10" fontId="0" fillId="0" borderId="4" xfId="0" applyNumberFormat="1" applyBorder="1"/>
    <xf numFmtId="10" fontId="0" fillId="0" borderId="6" xfId="0" applyNumberFormat="1" applyBorder="1"/>
    <xf numFmtId="10" fontId="0" fillId="0" borderId="9" xfId="0" applyNumberFormat="1" applyBorder="1"/>
    <xf numFmtId="14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/>
    </xf>
  </cellXfs>
  <cellStyles count="3">
    <cellStyle name="Milliers" xfId="1" builtinId="3"/>
    <cellStyle name="Normal" xfId="0" builtinId="0"/>
    <cellStyle name="Pourcentage" xfId="2" builtinId="5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428625</xdr:colOff>
      <xdr:row>26</xdr:row>
      <xdr:rowOff>133350</xdr:rowOff>
    </xdr:from>
    <xdr:to>
      <xdr:col>13</xdr:col>
      <xdr:colOff>685800</xdr:colOff>
      <xdr:row>37</xdr:row>
      <xdr:rowOff>171450</xdr:rowOff>
    </xdr:to>
    <xdr:pic>
      <xdr:nvPicPr>
        <xdr:cNvPr id="1041" name="Image 1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" t="22598" r="600" b="601"/>
        <a:stretch>
          <a:fillRect/>
        </a:stretch>
      </xdr:blipFill>
      <xdr:spPr bwMode="auto">
        <a:xfrm>
          <a:off x="10553700" y="4476750"/>
          <a:ext cx="2619375" cy="2028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3"/>
  <sheetViews>
    <sheetView showGridLines="0" tabSelected="1" workbookViewId="0">
      <selection activeCell="F17" sqref="F17"/>
    </sheetView>
  </sheetViews>
  <sheetFormatPr baseColWidth="10" defaultRowHeight="12.75" x14ac:dyDescent="0.2"/>
  <cols>
    <col min="1" max="1" width="12.5703125" customWidth="1"/>
    <col min="2" max="2" width="14.5703125" customWidth="1"/>
    <col min="7" max="10" width="15.140625" customWidth="1"/>
    <col min="11" max="12" width="18.42578125" bestFit="1" customWidth="1"/>
    <col min="13" max="13" width="17" bestFit="1" customWidth="1"/>
    <col min="14" max="14" width="18" customWidth="1"/>
    <col min="15" max="15" width="18.42578125" bestFit="1" customWidth="1"/>
    <col min="16" max="16" width="12.85546875" bestFit="1" customWidth="1"/>
    <col min="17" max="17" width="17" bestFit="1" customWidth="1"/>
  </cols>
  <sheetData>
    <row r="1" spans="1:17" ht="20.25" x14ac:dyDescent="0.3">
      <c r="A1" s="29" t="s">
        <v>51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17"/>
      <c r="P1" s="17"/>
      <c r="Q1" s="17"/>
    </row>
    <row r="2" spans="1:17" ht="13.5" thickBot="1" x14ac:dyDescent="0.25"/>
    <row r="3" spans="1:17" x14ac:dyDescent="0.2">
      <c r="A3" s="8" t="s">
        <v>27</v>
      </c>
      <c r="B3" s="9">
        <v>2019</v>
      </c>
      <c r="C3" s="9" t="s">
        <v>30</v>
      </c>
      <c r="D3" s="25">
        <v>1.26E-2</v>
      </c>
    </row>
    <row r="4" spans="1:17" x14ac:dyDescent="0.2">
      <c r="A4" s="10" t="s">
        <v>28</v>
      </c>
      <c r="B4" s="19">
        <v>5.1249999999999997E-2</v>
      </c>
      <c r="C4" s="5" t="s">
        <v>31</v>
      </c>
      <c r="D4" s="26">
        <v>2.0299999999999999E-2</v>
      </c>
    </row>
    <row r="5" spans="1:17" ht="13.5" thickBot="1" x14ac:dyDescent="0.25">
      <c r="A5" s="11" t="s">
        <v>29</v>
      </c>
      <c r="B5" s="16">
        <v>3000</v>
      </c>
      <c r="C5" s="12" t="s">
        <v>32</v>
      </c>
      <c r="D5" s="27">
        <v>3.4599999999999999E-2</v>
      </c>
    </row>
    <row r="7" spans="1:17" ht="14.25" x14ac:dyDescent="0.2">
      <c r="A7" s="2" t="s">
        <v>0</v>
      </c>
      <c r="B7" s="3" t="s">
        <v>1</v>
      </c>
      <c r="C7" s="3" t="s">
        <v>2</v>
      </c>
      <c r="D7" s="2" t="s">
        <v>3</v>
      </c>
      <c r="E7" s="2" t="s">
        <v>4</v>
      </c>
      <c r="F7" s="2" t="s">
        <v>36</v>
      </c>
      <c r="G7" s="3" t="s">
        <v>5</v>
      </c>
      <c r="H7" s="3" t="s">
        <v>29</v>
      </c>
      <c r="I7" s="3" t="s">
        <v>23</v>
      </c>
      <c r="J7" s="3" t="s">
        <v>24</v>
      </c>
      <c r="K7" s="3" t="s">
        <v>25</v>
      </c>
      <c r="L7" s="3" t="s">
        <v>26</v>
      </c>
      <c r="M7" s="3" t="s">
        <v>33</v>
      </c>
      <c r="N7" s="3" t="s">
        <v>39</v>
      </c>
    </row>
    <row r="8" spans="1:17" x14ac:dyDescent="0.2">
      <c r="A8" s="4">
        <v>1</v>
      </c>
      <c r="B8" s="5" t="s">
        <v>6</v>
      </c>
      <c r="C8" s="5" t="s">
        <v>13</v>
      </c>
      <c r="D8" s="28">
        <v>17686</v>
      </c>
      <c r="E8" s="4" t="s">
        <v>20</v>
      </c>
      <c r="F8" s="4" t="s">
        <v>38</v>
      </c>
      <c r="G8" s="13">
        <v>100000</v>
      </c>
      <c r="H8" s="14">
        <f>$B$5</f>
        <v>3000</v>
      </c>
      <c r="I8" s="6">
        <f>$B$3-YEAR(D8)</f>
        <v>71</v>
      </c>
      <c r="J8" s="14">
        <f>IF(E8="A",$D$3*G8,IF(E8="B",$D$4*G8,$D$5*G8))</f>
        <v>1260</v>
      </c>
      <c r="K8" s="14">
        <f>IF(F8="oui",0,IF(I8&lt;40,200,500))</f>
        <v>500</v>
      </c>
      <c r="L8" s="14">
        <f>IF(G8&lt;100000,1%*G8,IF(G8&lt;=150000,3%*G8,5%*G8))</f>
        <v>3000</v>
      </c>
      <c r="M8" s="15">
        <f>H8+J8+K8+L8</f>
        <v>7760</v>
      </c>
      <c r="N8" s="7">
        <f>IF(I8&lt;20,0,IF(I8&lt;=50,0.5*M8,M8))</f>
        <v>7760</v>
      </c>
    </row>
    <row r="9" spans="1:17" x14ac:dyDescent="0.2">
      <c r="A9" s="4">
        <v>2</v>
      </c>
      <c r="B9" s="5" t="s">
        <v>7</v>
      </c>
      <c r="C9" s="5" t="s">
        <v>14</v>
      </c>
      <c r="D9" s="28">
        <v>33496</v>
      </c>
      <c r="E9" s="4" t="s">
        <v>21</v>
      </c>
      <c r="F9" s="4" t="s">
        <v>38</v>
      </c>
      <c r="G9" s="13">
        <v>150000</v>
      </c>
      <c r="H9" s="14">
        <f t="shared" ref="H9:H14" si="0">$B$5</f>
        <v>3000</v>
      </c>
      <c r="I9" s="6">
        <f t="shared" ref="I9:I14" si="1">$B$3-YEAR(D9)</f>
        <v>28</v>
      </c>
      <c r="J9" s="14">
        <f t="shared" ref="J9:J14" si="2">IF(E9="A",$D$3*G9,IF(E9="B",$D$4*G9,$D$5*G9))</f>
        <v>3045</v>
      </c>
      <c r="K9" s="14">
        <f t="shared" ref="K9:K14" si="3">IF(F9="oui",0,IF(I9&lt;40,200,500))</f>
        <v>200</v>
      </c>
      <c r="L9" s="14">
        <f t="shared" ref="L9:L14" si="4">IF(G9&lt;100000,1%*G9,IF(G9&lt;=150000,3%*G9,5%*G9))</f>
        <v>4500</v>
      </c>
      <c r="M9" s="15">
        <f t="shared" ref="M9:M14" si="5">H9+J9+K9+L9</f>
        <v>10745</v>
      </c>
      <c r="N9" s="7">
        <f t="shared" ref="N9:N14" si="6">IF(I9&lt;20,0,IF(I9&lt;=50,0.5*M9,M9))</f>
        <v>5372.5</v>
      </c>
    </row>
    <row r="10" spans="1:17" x14ac:dyDescent="0.2">
      <c r="A10" s="4">
        <v>3</v>
      </c>
      <c r="B10" s="5" t="s">
        <v>8</v>
      </c>
      <c r="C10" s="5" t="s">
        <v>15</v>
      </c>
      <c r="D10" s="28">
        <v>32972</v>
      </c>
      <c r="E10" s="4" t="s">
        <v>21</v>
      </c>
      <c r="F10" s="4" t="s">
        <v>38</v>
      </c>
      <c r="G10" s="13">
        <v>85000</v>
      </c>
      <c r="H10" s="14">
        <f t="shared" si="0"/>
        <v>3000</v>
      </c>
      <c r="I10" s="6">
        <f t="shared" si="1"/>
        <v>29</v>
      </c>
      <c r="J10" s="14">
        <f t="shared" si="2"/>
        <v>1725.4999999999998</v>
      </c>
      <c r="K10" s="14">
        <f t="shared" si="3"/>
        <v>200</v>
      </c>
      <c r="L10" s="14">
        <f t="shared" si="4"/>
        <v>850</v>
      </c>
      <c r="M10" s="15">
        <f t="shared" si="5"/>
        <v>5775.5</v>
      </c>
      <c r="N10" s="7">
        <f t="shared" si="6"/>
        <v>2887.75</v>
      </c>
    </row>
    <row r="11" spans="1:17" x14ac:dyDescent="0.2">
      <c r="A11" s="4">
        <v>4</v>
      </c>
      <c r="B11" s="5" t="s">
        <v>9</v>
      </c>
      <c r="C11" s="5" t="s">
        <v>16</v>
      </c>
      <c r="D11" s="28">
        <v>23746</v>
      </c>
      <c r="E11" s="4" t="s">
        <v>22</v>
      </c>
      <c r="F11" s="4" t="s">
        <v>38</v>
      </c>
      <c r="G11" s="13">
        <v>155000</v>
      </c>
      <c r="H11" s="14">
        <f t="shared" si="0"/>
        <v>3000</v>
      </c>
      <c r="I11" s="6">
        <f t="shared" si="1"/>
        <v>54</v>
      </c>
      <c r="J11" s="14">
        <f t="shared" si="2"/>
        <v>5363</v>
      </c>
      <c r="K11" s="14">
        <f t="shared" si="3"/>
        <v>500</v>
      </c>
      <c r="L11" s="14">
        <f t="shared" si="4"/>
        <v>7750</v>
      </c>
      <c r="M11" s="15">
        <f t="shared" si="5"/>
        <v>16613</v>
      </c>
      <c r="N11" s="7">
        <f t="shared" si="6"/>
        <v>16613</v>
      </c>
    </row>
    <row r="12" spans="1:17" x14ac:dyDescent="0.2">
      <c r="A12" s="4">
        <v>5</v>
      </c>
      <c r="B12" s="5" t="s">
        <v>10</v>
      </c>
      <c r="C12" s="5" t="s">
        <v>17</v>
      </c>
      <c r="D12" s="28">
        <v>32012</v>
      </c>
      <c r="E12" s="4" t="s">
        <v>20</v>
      </c>
      <c r="F12" s="4" t="s">
        <v>38</v>
      </c>
      <c r="G12" s="13">
        <v>135000</v>
      </c>
      <c r="H12" s="14">
        <f t="shared" si="0"/>
        <v>3000</v>
      </c>
      <c r="I12" s="6">
        <f t="shared" si="1"/>
        <v>32</v>
      </c>
      <c r="J12" s="14">
        <f t="shared" si="2"/>
        <v>1701</v>
      </c>
      <c r="K12" s="14">
        <f t="shared" si="3"/>
        <v>200</v>
      </c>
      <c r="L12" s="14">
        <f t="shared" si="4"/>
        <v>4050</v>
      </c>
      <c r="M12" s="15">
        <f t="shared" si="5"/>
        <v>8951</v>
      </c>
      <c r="N12" s="7">
        <f t="shared" si="6"/>
        <v>4475.5</v>
      </c>
    </row>
    <row r="13" spans="1:17" x14ac:dyDescent="0.2">
      <c r="A13" s="4">
        <v>6</v>
      </c>
      <c r="B13" s="5" t="s">
        <v>11</v>
      </c>
      <c r="C13" s="5" t="s">
        <v>18</v>
      </c>
      <c r="D13" s="28">
        <v>33906</v>
      </c>
      <c r="E13" s="4" t="s">
        <v>22</v>
      </c>
      <c r="F13" s="4" t="s">
        <v>37</v>
      </c>
      <c r="G13" s="13">
        <v>60000</v>
      </c>
      <c r="H13" s="14">
        <f t="shared" si="0"/>
        <v>3000</v>
      </c>
      <c r="I13" s="6">
        <f t="shared" si="1"/>
        <v>27</v>
      </c>
      <c r="J13" s="14">
        <f t="shared" si="2"/>
        <v>2076</v>
      </c>
      <c r="K13" s="14">
        <f t="shared" si="3"/>
        <v>0</v>
      </c>
      <c r="L13" s="14">
        <f t="shared" si="4"/>
        <v>600</v>
      </c>
      <c r="M13" s="15">
        <f t="shared" si="5"/>
        <v>5676</v>
      </c>
      <c r="N13" s="7">
        <f t="shared" si="6"/>
        <v>2838</v>
      </c>
    </row>
    <row r="14" spans="1:17" x14ac:dyDescent="0.2">
      <c r="A14" s="4">
        <v>7</v>
      </c>
      <c r="B14" s="5" t="s">
        <v>12</v>
      </c>
      <c r="C14" s="5" t="s">
        <v>19</v>
      </c>
      <c r="D14" s="28">
        <v>36721</v>
      </c>
      <c r="E14" s="4" t="s">
        <v>21</v>
      </c>
      <c r="F14" s="4" t="s">
        <v>37</v>
      </c>
      <c r="G14" s="13">
        <v>50000</v>
      </c>
      <c r="H14" s="14">
        <f t="shared" si="0"/>
        <v>3000</v>
      </c>
      <c r="I14" s="6">
        <f t="shared" si="1"/>
        <v>19</v>
      </c>
      <c r="J14" s="14">
        <f t="shared" si="2"/>
        <v>1014.9999999999999</v>
      </c>
      <c r="K14" s="14">
        <f t="shared" si="3"/>
        <v>0</v>
      </c>
      <c r="L14" s="14">
        <f t="shared" si="4"/>
        <v>500</v>
      </c>
      <c r="M14" s="15">
        <f t="shared" si="5"/>
        <v>4515</v>
      </c>
      <c r="N14" s="7">
        <f t="shared" si="6"/>
        <v>0</v>
      </c>
    </row>
    <row r="15" spans="1:17" x14ac:dyDescent="0.2">
      <c r="D15" s="1"/>
      <c r="E15" s="1"/>
      <c r="F15" s="1"/>
    </row>
    <row r="17" spans="1:14" ht="15" x14ac:dyDescent="0.25">
      <c r="A17" s="21" t="s">
        <v>47</v>
      </c>
      <c r="B17" s="22"/>
      <c r="C17" s="22"/>
      <c r="D17" s="22"/>
      <c r="E17" s="22"/>
      <c r="F17" s="22"/>
      <c r="G17" s="22"/>
    </row>
    <row r="18" spans="1:14" ht="14.25" x14ac:dyDescent="0.2">
      <c r="A18" s="22"/>
      <c r="B18" s="22"/>
      <c r="C18" s="22"/>
      <c r="D18" s="22"/>
      <c r="E18" s="22"/>
      <c r="F18" s="22"/>
      <c r="G18" s="22"/>
      <c r="K18" s="3" t="s">
        <v>34</v>
      </c>
      <c r="L18" s="3" t="s">
        <v>40</v>
      </c>
      <c r="M18" s="3" t="s">
        <v>35</v>
      </c>
      <c r="N18" s="3" t="s">
        <v>48</v>
      </c>
    </row>
    <row r="19" spans="1:14" ht="14.25" x14ac:dyDescent="0.2">
      <c r="A19" s="22" t="s">
        <v>64</v>
      </c>
      <c r="B19" s="22"/>
      <c r="C19" s="22"/>
      <c r="D19" s="23"/>
      <c r="E19" s="23"/>
      <c r="F19" s="23"/>
      <c r="G19" s="22"/>
      <c r="K19" s="15">
        <f t="shared" ref="K19:K25" si="7">12*M8+N8</f>
        <v>100880</v>
      </c>
      <c r="L19" s="15">
        <f>$B$4*K19</f>
        <v>5170.0999999999995</v>
      </c>
      <c r="M19" s="15">
        <f>INT((K19-L19)*2+0.5)/2</f>
        <v>95710</v>
      </c>
      <c r="N19" s="20">
        <f>M19/SUM($M$19:$M$25)</f>
        <v>0.13267175350306243</v>
      </c>
    </row>
    <row r="20" spans="1:14" ht="14.25" x14ac:dyDescent="0.2">
      <c r="A20" s="22"/>
      <c r="B20" s="22"/>
      <c r="C20" s="22"/>
      <c r="D20" s="22"/>
      <c r="E20" s="22"/>
      <c r="F20" s="22"/>
      <c r="G20" s="22"/>
      <c r="K20" s="15">
        <f t="shared" si="7"/>
        <v>134312.5</v>
      </c>
      <c r="L20" s="15">
        <f t="shared" ref="L20:L25" si="8">$B$4*K20</f>
        <v>6883.515625</v>
      </c>
      <c r="M20" s="15">
        <f t="shared" ref="M20:M25" si="9">INT((K20-L20)*2+0.5)/2</f>
        <v>127429</v>
      </c>
      <c r="N20" s="20">
        <f t="shared" ref="N20:N25" si="10">M20/SUM($M$19:$M$25)</f>
        <v>0.17664015126049254</v>
      </c>
    </row>
    <row r="21" spans="1:14" ht="14.25" x14ac:dyDescent="0.2">
      <c r="A21" s="22" t="s">
        <v>41</v>
      </c>
      <c r="B21" s="22"/>
      <c r="C21" s="22"/>
      <c r="D21" s="22"/>
      <c r="E21" s="22"/>
      <c r="F21" s="22"/>
      <c r="G21" s="22"/>
      <c r="K21" s="15">
        <f t="shared" si="7"/>
        <v>72193.75</v>
      </c>
      <c r="L21" s="15">
        <f t="shared" si="8"/>
        <v>3699.9296875</v>
      </c>
      <c r="M21" s="15">
        <f t="shared" si="9"/>
        <v>68494</v>
      </c>
      <c r="N21" s="20">
        <f t="shared" si="10"/>
        <v>9.4945346196204761E-2</v>
      </c>
    </row>
    <row r="22" spans="1:14" ht="14.25" x14ac:dyDescent="0.2">
      <c r="A22" s="22"/>
      <c r="B22" s="22"/>
      <c r="C22" s="22"/>
      <c r="D22" s="22"/>
      <c r="E22" s="22"/>
      <c r="F22" s="22"/>
      <c r="G22" s="22"/>
      <c r="K22" s="15">
        <f t="shared" si="7"/>
        <v>215969</v>
      </c>
      <c r="L22" s="15">
        <f t="shared" si="8"/>
        <v>11068.411249999999</v>
      </c>
      <c r="M22" s="15">
        <f t="shared" si="9"/>
        <v>204900.5</v>
      </c>
      <c r="N22" s="20">
        <f t="shared" si="10"/>
        <v>0.28402997208916775</v>
      </c>
    </row>
    <row r="23" spans="1:14" ht="14.25" x14ac:dyDescent="0.2">
      <c r="A23" s="22" t="s">
        <v>52</v>
      </c>
      <c r="B23" s="22"/>
      <c r="C23" s="22"/>
      <c r="D23" s="22"/>
      <c r="E23" s="22"/>
      <c r="F23" s="22"/>
      <c r="G23" s="22"/>
      <c r="K23" s="15">
        <f t="shared" si="7"/>
        <v>111887.5</v>
      </c>
      <c r="L23" s="15">
        <f t="shared" si="8"/>
        <v>5734.234375</v>
      </c>
      <c r="M23" s="15">
        <f t="shared" si="9"/>
        <v>106153.5</v>
      </c>
      <c r="N23" s="20">
        <f t="shared" si="10"/>
        <v>0.14714837514875495</v>
      </c>
    </row>
    <row r="24" spans="1:14" ht="14.25" x14ac:dyDescent="0.2">
      <c r="A24" s="22"/>
      <c r="B24" s="22" t="s">
        <v>66</v>
      </c>
      <c r="C24" s="22"/>
      <c r="D24" s="22"/>
      <c r="E24" s="22"/>
      <c r="F24" s="22"/>
      <c r="G24" s="22"/>
      <c r="K24" s="15">
        <f t="shared" si="7"/>
        <v>70950</v>
      </c>
      <c r="L24" s="15">
        <f t="shared" si="8"/>
        <v>3636.1875</v>
      </c>
      <c r="M24" s="15">
        <f t="shared" si="9"/>
        <v>67314</v>
      </c>
      <c r="N24" s="20">
        <f t="shared" si="10"/>
        <v>9.3309648054593505E-2</v>
      </c>
    </row>
    <row r="25" spans="1:14" ht="14.25" x14ac:dyDescent="0.2">
      <c r="A25" s="22"/>
      <c r="B25" s="22" t="s">
        <v>67</v>
      </c>
      <c r="C25" s="22"/>
      <c r="D25" s="22"/>
      <c r="E25" s="22"/>
      <c r="F25" s="22"/>
      <c r="G25" s="22"/>
      <c r="K25" s="15">
        <f t="shared" si="7"/>
        <v>54180</v>
      </c>
      <c r="L25" s="15">
        <f t="shared" si="8"/>
        <v>2776.7249999999999</v>
      </c>
      <c r="M25" s="15">
        <f t="shared" si="9"/>
        <v>51403.5</v>
      </c>
      <c r="N25" s="20">
        <f t="shared" si="10"/>
        <v>7.1254753747724053E-2</v>
      </c>
    </row>
    <row r="26" spans="1:14" ht="14.25" x14ac:dyDescent="0.2">
      <c r="A26" s="22"/>
      <c r="B26" s="22" t="s">
        <v>68</v>
      </c>
      <c r="C26" s="22"/>
      <c r="D26" s="22"/>
      <c r="E26" s="22"/>
      <c r="F26" s="22"/>
      <c r="G26" s="22"/>
    </row>
    <row r="27" spans="1:14" ht="14.25" x14ac:dyDescent="0.2">
      <c r="A27" s="22"/>
      <c r="B27" s="22" t="s">
        <v>42</v>
      </c>
      <c r="C27" s="22"/>
      <c r="D27" s="22"/>
      <c r="E27" s="22"/>
      <c r="F27" s="22"/>
      <c r="G27" s="22"/>
    </row>
    <row r="28" spans="1:14" ht="14.25" x14ac:dyDescent="0.2">
      <c r="A28" s="22"/>
      <c r="B28" s="22"/>
      <c r="C28" s="22"/>
      <c r="D28" s="22"/>
      <c r="E28" s="22"/>
      <c r="F28" s="22"/>
      <c r="G28" s="22"/>
    </row>
    <row r="29" spans="1:14" ht="14.25" x14ac:dyDescent="0.2">
      <c r="A29" s="22" t="s">
        <v>53</v>
      </c>
      <c r="B29" s="22"/>
      <c r="C29" s="22"/>
      <c r="D29" s="22"/>
      <c r="E29" s="22"/>
      <c r="F29" s="22"/>
      <c r="G29" s="22"/>
    </row>
    <row r="30" spans="1:14" ht="14.25" x14ac:dyDescent="0.2">
      <c r="A30" s="22"/>
      <c r="B30" s="22" t="s">
        <v>55</v>
      </c>
      <c r="C30" s="22"/>
      <c r="D30" s="22"/>
      <c r="E30" s="22"/>
      <c r="F30" s="22"/>
      <c r="G30" s="22"/>
    </row>
    <row r="31" spans="1:14" ht="14.25" x14ac:dyDescent="0.2">
      <c r="A31" s="22"/>
      <c r="B31" s="22" t="s">
        <v>56</v>
      </c>
      <c r="C31" s="22"/>
      <c r="D31" s="22"/>
      <c r="E31" s="22"/>
      <c r="F31" s="22"/>
      <c r="G31" s="22"/>
    </row>
    <row r="32" spans="1:14" ht="14.25" x14ac:dyDescent="0.2">
      <c r="A32" s="22"/>
      <c r="B32" s="22" t="s">
        <v>65</v>
      </c>
      <c r="C32" s="22"/>
      <c r="D32" s="22"/>
      <c r="E32" s="22"/>
      <c r="F32" s="22"/>
      <c r="G32" s="22"/>
    </row>
    <row r="33" spans="1:16" ht="14.25" x14ac:dyDescent="0.2">
      <c r="A33" s="22"/>
      <c r="B33" s="22"/>
      <c r="C33" s="22"/>
      <c r="D33" s="22"/>
      <c r="E33" s="22"/>
      <c r="F33" s="22"/>
      <c r="G33" s="22"/>
    </row>
    <row r="34" spans="1:16" ht="14.25" x14ac:dyDescent="0.2">
      <c r="A34" s="22" t="s">
        <v>54</v>
      </c>
      <c r="B34" s="22"/>
      <c r="C34" s="22"/>
      <c r="D34" s="22"/>
      <c r="E34" s="22"/>
      <c r="F34" s="22"/>
      <c r="G34" s="22"/>
    </row>
    <row r="35" spans="1:16" ht="14.25" x14ac:dyDescent="0.2">
      <c r="A35" s="22"/>
      <c r="B35" s="22" t="s">
        <v>57</v>
      </c>
      <c r="C35" s="22"/>
      <c r="D35" s="22"/>
      <c r="E35" s="22"/>
      <c r="F35" s="22"/>
      <c r="G35" s="22"/>
    </row>
    <row r="36" spans="1:16" ht="14.25" x14ac:dyDescent="0.2">
      <c r="A36" s="22"/>
      <c r="B36" s="22" t="s">
        <v>58</v>
      </c>
      <c r="C36" s="22"/>
      <c r="D36" s="22"/>
      <c r="E36" s="22"/>
      <c r="F36" s="22"/>
      <c r="G36" s="24"/>
      <c r="H36" s="18"/>
      <c r="I36" s="18"/>
      <c r="J36" s="18"/>
      <c r="M36" s="18"/>
      <c r="N36" s="18"/>
      <c r="O36" s="18"/>
      <c r="P36" s="18"/>
    </row>
    <row r="37" spans="1:16" ht="14.25" x14ac:dyDescent="0.2">
      <c r="A37" s="22"/>
      <c r="B37" s="22" t="s">
        <v>43</v>
      </c>
      <c r="C37" s="22"/>
      <c r="D37" s="22"/>
      <c r="E37" s="22"/>
      <c r="F37" s="22"/>
      <c r="G37" s="24"/>
      <c r="H37" s="18"/>
      <c r="I37" s="18"/>
      <c r="J37" s="18"/>
      <c r="M37" s="18"/>
      <c r="N37" s="18"/>
      <c r="O37" s="18"/>
      <c r="P37" s="18"/>
    </row>
    <row r="38" spans="1:16" ht="14.25" x14ac:dyDescent="0.2">
      <c r="A38" s="22"/>
      <c r="B38" s="22"/>
      <c r="C38" s="22"/>
      <c r="D38" s="22"/>
      <c r="E38" s="22"/>
      <c r="F38" s="22"/>
      <c r="G38" s="24"/>
      <c r="H38" s="18"/>
      <c r="I38" s="18"/>
      <c r="J38" s="18"/>
      <c r="M38" s="18"/>
      <c r="N38" s="18"/>
      <c r="O38" s="18"/>
      <c r="P38" s="18"/>
    </row>
    <row r="39" spans="1:16" ht="16.5" x14ac:dyDescent="0.2">
      <c r="A39" s="22" t="s">
        <v>50</v>
      </c>
      <c r="B39" s="22"/>
      <c r="C39" s="24"/>
      <c r="D39" s="24"/>
      <c r="E39" s="24"/>
      <c r="F39" s="24"/>
      <c r="G39" s="22"/>
      <c r="H39" s="18"/>
      <c r="I39" s="18"/>
      <c r="J39" s="18"/>
      <c r="M39" s="18"/>
      <c r="N39" s="18"/>
      <c r="O39" s="18"/>
      <c r="P39" s="18"/>
    </row>
    <row r="40" spans="1:16" ht="14.25" x14ac:dyDescent="0.2">
      <c r="A40" s="22"/>
      <c r="B40" s="22"/>
      <c r="C40" s="24"/>
      <c r="D40" s="24"/>
      <c r="E40" s="24"/>
      <c r="F40" s="24"/>
      <c r="G40" s="22"/>
      <c r="H40" s="18"/>
      <c r="I40" s="18"/>
      <c r="J40" s="18"/>
      <c r="M40" s="18"/>
      <c r="N40" s="18"/>
      <c r="O40" s="18"/>
      <c r="P40" s="18"/>
    </row>
    <row r="41" spans="1:16" ht="16.5" x14ac:dyDescent="0.2">
      <c r="A41" s="22" t="s">
        <v>69</v>
      </c>
      <c r="B41" s="22"/>
      <c r="C41" s="24"/>
      <c r="D41" s="24"/>
      <c r="E41" s="24"/>
      <c r="F41" s="24"/>
      <c r="G41" s="22" t="s">
        <v>62</v>
      </c>
      <c r="H41" s="18"/>
      <c r="I41" s="18"/>
      <c r="J41" s="18"/>
      <c r="M41" s="18"/>
      <c r="N41" s="18"/>
      <c r="O41" s="18"/>
      <c r="P41" s="18"/>
    </row>
    <row r="42" spans="1:16" ht="16.5" x14ac:dyDescent="0.2">
      <c r="A42" s="22"/>
      <c r="B42" s="22" t="s">
        <v>59</v>
      </c>
      <c r="C42" s="24"/>
      <c r="D42" s="24"/>
      <c r="E42" s="24"/>
      <c r="F42" s="24"/>
      <c r="G42" s="22"/>
      <c r="H42" s="18"/>
      <c r="I42" s="18"/>
      <c r="J42" s="18"/>
      <c r="M42" s="18"/>
      <c r="N42" s="18"/>
      <c r="O42" s="18"/>
      <c r="P42" s="18"/>
    </row>
    <row r="43" spans="1:16" ht="15" x14ac:dyDescent="0.25">
      <c r="A43" s="22"/>
      <c r="B43" s="22" t="s">
        <v>60</v>
      </c>
      <c r="C43" s="24"/>
      <c r="D43" s="24"/>
      <c r="E43" s="24"/>
      <c r="F43" s="24"/>
      <c r="G43" s="22" t="s">
        <v>63</v>
      </c>
      <c r="H43" s="18"/>
      <c r="I43" s="18"/>
      <c r="J43" s="18"/>
      <c r="K43" s="18"/>
      <c r="L43" s="18"/>
      <c r="M43" s="18"/>
      <c r="N43" s="18"/>
      <c r="O43" s="18"/>
      <c r="P43" s="18"/>
    </row>
    <row r="44" spans="1:16" ht="14.25" x14ac:dyDescent="0.2">
      <c r="A44" s="22"/>
      <c r="B44" s="22" t="s">
        <v>44</v>
      </c>
      <c r="C44" s="24"/>
      <c r="D44" s="24"/>
      <c r="E44" s="24"/>
      <c r="F44" s="24"/>
      <c r="G44" s="22"/>
      <c r="H44" s="18"/>
      <c r="I44" s="18"/>
      <c r="J44" s="18"/>
      <c r="K44" s="18"/>
      <c r="L44" s="18"/>
      <c r="M44" s="18"/>
      <c r="N44" s="18"/>
      <c r="O44" s="18"/>
      <c r="P44" s="18"/>
    </row>
    <row r="45" spans="1:16" ht="14.25" x14ac:dyDescent="0.2">
      <c r="A45" s="22"/>
      <c r="B45" s="22"/>
      <c r="C45" s="24"/>
      <c r="D45" s="24"/>
      <c r="E45" s="24"/>
      <c r="F45" s="24"/>
      <c r="G45" s="22" t="s">
        <v>61</v>
      </c>
      <c r="H45" s="18"/>
      <c r="I45" s="18"/>
      <c r="J45" s="18"/>
      <c r="K45" s="18"/>
      <c r="L45" s="18"/>
      <c r="M45" s="18"/>
      <c r="N45" s="18"/>
      <c r="O45" s="18"/>
      <c r="P45" s="18"/>
    </row>
    <row r="46" spans="1:16" ht="14.25" x14ac:dyDescent="0.2">
      <c r="A46" s="22" t="s">
        <v>45</v>
      </c>
      <c r="B46" s="22"/>
      <c r="C46" s="24"/>
      <c r="D46" s="24"/>
      <c r="E46" s="24"/>
      <c r="F46" s="24"/>
      <c r="G46" s="22"/>
      <c r="H46" s="18"/>
      <c r="I46" s="18"/>
      <c r="J46" s="18"/>
      <c r="K46" s="18"/>
      <c r="L46" s="18"/>
      <c r="M46" s="18"/>
      <c r="N46" s="18"/>
      <c r="O46" s="18"/>
      <c r="P46" s="18"/>
    </row>
    <row r="47" spans="1:16" ht="14.25" x14ac:dyDescent="0.2">
      <c r="A47" s="22"/>
      <c r="B47" s="22"/>
      <c r="C47" s="24"/>
      <c r="D47" s="24"/>
      <c r="E47" s="24"/>
      <c r="F47" s="24"/>
      <c r="G47" s="22" t="s">
        <v>49</v>
      </c>
      <c r="H47" s="18"/>
      <c r="I47" s="18"/>
      <c r="J47" s="18"/>
      <c r="K47" s="18"/>
      <c r="L47" s="18"/>
      <c r="M47" s="18"/>
      <c r="N47" s="18"/>
      <c r="O47" s="18"/>
      <c r="P47" s="18"/>
    </row>
    <row r="48" spans="1:16" ht="14.25" x14ac:dyDescent="0.2">
      <c r="A48" s="22" t="s">
        <v>46</v>
      </c>
      <c r="C48" s="18"/>
      <c r="D48" s="18"/>
      <c r="E48" s="18"/>
      <c r="F48" s="18"/>
      <c r="H48" s="18"/>
      <c r="I48" s="18"/>
      <c r="J48" s="18"/>
      <c r="K48" s="18"/>
      <c r="L48" s="18"/>
      <c r="M48" s="18"/>
      <c r="N48" s="18"/>
      <c r="O48" s="18"/>
      <c r="P48" s="18"/>
    </row>
    <row r="49" spans="2:16" x14ac:dyDescent="0.2"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</row>
    <row r="50" spans="2:16" x14ac:dyDescent="0.2"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</row>
    <row r="51" spans="2:16" x14ac:dyDescent="0.2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</row>
    <row r="52" spans="2:16" x14ac:dyDescent="0.2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</row>
    <row r="53" spans="2:16" x14ac:dyDescent="0.2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</row>
    <row r="54" spans="2:16" x14ac:dyDescent="0.2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</row>
    <row r="55" spans="2:16" x14ac:dyDescent="0.2"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</row>
    <row r="56" spans="2:16" x14ac:dyDescent="0.2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</row>
    <row r="57" spans="2:16" x14ac:dyDescent="0.2"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</row>
    <row r="58" spans="2:16" x14ac:dyDescent="0.2"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spans="2:16" x14ac:dyDescent="0.2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</row>
    <row r="60" spans="2:16" x14ac:dyDescent="0.2"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 spans="2:16" x14ac:dyDescent="0.2"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</row>
    <row r="62" spans="2:16" x14ac:dyDescent="0.2"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</row>
    <row r="63" spans="2:16" x14ac:dyDescent="0.2"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</row>
  </sheetData>
  <mergeCells count="1">
    <mergeCell ref="A1:N1"/>
  </mergeCells>
  <phoneticPr fontId="3" type="noConversion"/>
  <conditionalFormatting sqref="D8:D14">
    <cfRule type="cellIs" dxfId="0" priority="1" operator="greaterThanOrEqual">
      <formula>32874</formula>
    </cfRule>
  </conditionalFormatting>
  <printOptions headings="1"/>
  <pageMargins left="0.94488188976377963" right="0.78740157480314965" top="0.98425196850393704" bottom="0.98425196850393704" header="0.51181102362204722" footer="0.51181102362204722"/>
  <pageSetup paperSize="9" scale="60" orientation="landscape" r:id="rId1"/>
  <headerFooter alignWithMargins="0">
    <oddFooter>&amp;CDrill, fontions SI multiples - bis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Drill, fonctions SI multiples</vt:lpstr>
      <vt:lpstr>'Drill, fonctions SI multiples'!Zone_d_impression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CFPS</dc:creator>
  <cp:lastModifiedBy>Michèle Grosset-Bovier</cp:lastModifiedBy>
  <cp:lastPrinted>2021-02-06T16:52:48Z</cp:lastPrinted>
  <dcterms:created xsi:type="dcterms:W3CDTF">2010-01-15T12:04:07Z</dcterms:created>
  <dcterms:modified xsi:type="dcterms:W3CDTF">2021-02-06T16:52:54Z</dcterms:modified>
</cp:coreProperties>
</file>