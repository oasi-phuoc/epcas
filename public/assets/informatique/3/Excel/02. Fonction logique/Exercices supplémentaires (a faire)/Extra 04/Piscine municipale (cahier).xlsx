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0"/>
  <workbookPr defaultThemeVersion="124226"/>
  <mc:AlternateContent xmlns:mc="http://schemas.openxmlformats.org/markup-compatibility/2006">
    <mc:Choice Requires="x15">
      <x15ac:absPath xmlns:x15ac="http://schemas.microsoft.com/office/spreadsheetml/2010/11/ac" url="G:\0000000 - 2021-2022- Support de cours\1re année\1re, ICA-I\1re, I - cahier exercice\Sem. 2\"/>
    </mc:Choice>
  </mc:AlternateContent>
  <xr:revisionPtr revIDLastSave="0" documentId="13_ncr:1_{50F0EECD-B27C-4AC9-A519-783D248E9CB3}" xr6:coauthVersionLast="36" xr6:coauthVersionMax="36" xr10:uidLastSave="{00000000-0000-0000-0000-000000000000}"/>
  <bookViews>
    <workbookView xWindow="120" yWindow="75" windowWidth="18915" windowHeight="11820" xr2:uid="{00000000-000D-0000-FFFF-FFFF00000000}"/>
  </bookViews>
  <sheets>
    <sheet name="Piscine municipale" sheetId="1" r:id="rId1"/>
  </sheets>
  <definedNames>
    <definedName name="_xlnm.Print_Area" localSheetId="0">'Piscine municipale'!$A$1:$I$29</definedName>
  </definedNames>
  <calcPr calcId="191029"/>
</workbook>
</file>

<file path=xl/calcChain.xml><?xml version="1.0" encoding="utf-8"?>
<calcChain xmlns="http://schemas.openxmlformats.org/spreadsheetml/2006/main">
  <c r="I10" i="1" l="1"/>
  <c r="I11" i="1"/>
  <c r="I12" i="1"/>
  <c r="I13" i="1"/>
  <c r="I14" i="1"/>
  <c r="I15" i="1"/>
  <c r="I16" i="1"/>
  <c r="I9" i="1"/>
  <c r="E10" i="1" l="1"/>
  <c r="F10" i="1" s="1"/>
  <c r="E11" i="1"/>
  <c r="F11" i="1" s="1"/>
  <c r="E12" i="1"/>
  <c r="F12" i="1" s="1"/>
  <c r="E13" i="1"/>
  <c r="F13" i="1" s="1"/>
  <c r="E14" i="1"/>
  <c r="F14" i="1" s="1"/>
  <c r="E15" i="1"/>
  <c r="F15" i="1" s="1"/>
  <c r="E16" i="1"/>
  <c r="F16" i="1" s="1"/>
  <c r="E9" i="1"/>
  <c r="F9" i="1" s="1"/>
  <c r="G12" i="1" l="1"/>
  <c r="H12" i="1" s="1"/>
  <c r="G14" i="1"/>
  <c r="H14" i="1" s="1"/>
  <c r="G15" i="1"/>
  <c r="H15" i="1" s="1"/>
  <c r="G9" i="1"/>
  <c r="H9" i="1" s="1"/>
  <c r="G10" i="1"/>
  <c r="H10" i="1" s="1"/>
  <c r="G11" i="1"/>
  <c r="H11" i="1" s="1"/>
  <c r="G13" i="1"/>
  <c r="H13" i="1" s="1"/>
  <c r="G16" i="1"/>
  <c r="H16" i="1" s="1"/>
</calcChain>
</file>

<file path=xl/sharedStrings.xml><?xml version="1.0" encoding="utf-8"?>
<sst xmlns="http://schemas.openxmlformats.org/spreadsheetml/2006/main" count="49" uniqueCount="41">
  <si>
    <t>Moins de 7 ans</t>
  </si>
  <si>
    <t>De 7 ans à 16 ans</t>
  </si>
  <si>
    <t>Plus de 16 ans</t>
  </si>
  <si>
    <t>gratuit</t>
  </si>
  <si>
    <t>Bob</t>
  </si>
  <si>
    <t>Sam</t>
  </si>
  <si>
    <t>Joe</t>
  </si>
  <si>
    <t>Vic</t>
  </si>
  <si>
    <t>Kim</t>
  </si>
  <si>
    <t>Léa</t>
  </si>
  <si>
    <t>Leo</t>
  </si>
  <si>
    <t>Jim</t>
  </si>
  <si>
    <t>Débutant</t>
  </si>
  <si>
    <t>Confirmé</t>
  </si>
  <si>
    <t>Non</t>
  </si>
  <si>
    <t>Bon</t>
  </si>
  <si>
    <t>Réduction</t>
  </si>
  <si>
    <t>Remarque</t>
  </si>
  <si>
    <t>Bon cadeau</t>
  </si>
  <si>
    <t>Bon promo</t>
  </si>
  <si>
    <t>cadeau</t>
  </si>
  <si>
    <t>promo</t>
  </si>
  <si>
    <t>PISCINE MUNICIPALE</t>
  </si>
  <si>
    <t>Prénom</t>
  </si>
  <si>
    <t>Date naissance</t>
  </si>
  <si>
    <t>Maîtrise</t>
  </si>
  <si>
    <t>Âge</t>
  </si>
  <si>
    <t>Année</t>
  </si>
  <si>
    <t>Indications:</t>
  </si>
  <si>
    <r>
      <rPr>
        <b/>
        <sz val="11"/>
        <color theme="1"/>
        <rFont val="Calibri"/>
        <family val="2"/>
        <scheme val="minor"/>
      </rPr>
      <t>10.</t>
    </r>
    <r>
      <rPr>
        <sz val="11"/>
        <color theme="1"/>
        <rFont val="Calibri"/>
        <family val="2"/>
        <scheme val="minor"/>
      </rPr>
      <t xml:space="preserve"> Protéger la feuille de façon que l'utilisateur ne puisse ni modifier, ni sélectionner les cellule grisées (formules). On doit pouvoir modifier le contenu et le format du contenu de toutes les autres cellules.</t>
    </r>
  </si>
  <si>
    <t>Prix brut</t>
  </si>
  <si>
    <t>Prix à payer</t>
  </si>
  <si>
    <r>
      <t xml:space="preserve">  </t>
    </r>
    <r>
      <rPr>
        <b/>
        <sz val="11"/>
        <color theme="1"/>
        <rFont val="Calibri"/>
        <family val="2"/>
        <scheme val="minor"/>
      </rPr>
      <t>1.</t>
    </r>
    <r>
      <rPr>
        <sz val="11"/>
        <color theme="1"/>
        <rFont val="Calibri"/>
        <family val="2"/>
        <scheme val="minor"/>
      </rPr>
      <t xml:space="preserve"> Calculer, dans la colonne E, l'âge de chaque personne.</t>
    </r>
  </si>
  <si>
    <r>
      <t xml:space="preserve">  </t>
    </r>
    <r>
      <rPr>
        <b/>
        <sz val="11"/>
        <color theme="1"/>
        <rFont val="Calibri"/>
        <family val="2"/>
        <scheme val="minor"/>
      </rPr>
      <t>2.</t>
    </r>
    <r>
      <rPr>
        <sz val="11"/>
        <color theme="1"/>
        <rFont val="Calibri"/>
        <family val="2"/>
        <scheme val="minor"/>
      </rPr>
      <t xml:space="preserve"> Calculer, dans la colonne F, le prix brut de l'entrée pour chacun, selon la tabelle des âges.</t>
    </r>
  </si>
  <si>
    <r>
      <t xml:space="preserve">  </t>
    </r>
    <r>
      <rPr>
        <b/>
        <sz val="11"/>
        <color theme="1"/>
        <rFont val="Calibri"/>
        <family val="2"/>
        <scheme val="minor"/>
      </rPr>
      <t>3.</t>
    </r>
    <r>
      <rPr>
        <sz val="11"/>
        <color theme="1"/>
        <rFont val="Calibri"/>
        <family val="2"/>
        <scheme val="minor"/>
      </rPr>
      <t xml:space="preserve"> Les clients qui n'ont pas de bon paient le tarif plein, les autres ont une réduction selon leur bon.</t>
    </r>
  </si>
  <si>
    <r>
      <t xml:space="preserve">  </t>
    </r>
    <r>
      <rPr>
        <b/>
        <sz val="11"/>
        <color theme="1"/>
        <rFont val="Calibri"/>
        <family val="2"/>
        <scheme val="minor"/>
      </rPr>
      <t>4.</t>
    </r>
    <r>
      <rPr>
        <sz val="11"/>
        <color theme="1"/>
        <rFont val="Calibri"/>
        <family val="2"/>
        <scheme val="minor"/>
      </rPr>
      <t xml:space="preserve"> Calculer le prix à payer pour chacun, arrondi à 5 centimes.</t>
    </r>
  </si>
  <si>
    <r>
      <t xml:space="preserve">  </t>
    </r>
    <r>
      <rPr>
        <b/>
        <sz val="11"/>
        <color theme="1"/>
        <rFont val="Calibri"/>
        <family val="2"/>
        <scheme val="minor"/>
      </rPr>
      <t xml:space="preserve">5. </t>
    </r>
    <r>
      <rPr>
        <sz val="11"/>
        <color theme="1"/>
        <rFont val="Calibri"/>
        <family val="2"/>
        <scheme val="minor"/>
      </rPr>
      <t>Inscrire la remarque "a reçu un bon cadeau" si la personne a reçu un bon cadeau ;  "a reçu un bon promo" si elle a reçu un bon promo ;
"n'a pas reçu de bon" pour les personnes qui n'ont rien reçu.</t>
    </r>
  </si>
  <si>
    <r>
      <t xml:space="preserve">  </t>
    </r>
    <r>
      <rPr>
        <b/>
        <sz val="11"/>
        <rFont val="Calibri"/>
        <family val="2"/>
        <scheme val="minor"/>
      </rPr>
      <t xml:space="preserve">7. </t>
    </r>
    <r>
      <rPr>
        <sz val="11"/>
        <rFont val="Calibri"/>
        <family val="2"/>
        <scheme val="minor"/>
      </rPr>
      <t>La colonne "Maîtrise" n'accepte que les valeurs "Non", "Débutant" ou "Confirmé". Permettre de saisir une autre valeur si besoin.</t>
    </r>
  </si>
  <si>
    <r>
      <t xml:space="preserve">  </t>
    </r>
    <r>
      <rPr>
        <b/>
        <sz val="11"/>
        <color theme="1"/>
        <rFont val="Calibri"/>
        <family val="2"/>
        <scheme val="minor"/>
      </rPr>
      <t xml:space="preserve">9. </t>
    </r>
    <r>
      <rPr>
        <sz val="11"/>
        <color theme="1"/>
        <rFont val="Calibri"/>
        <family val="2"/>
        <scheme val="minor"/>
      </rPr>
      <t>Quelle serait la fonction à introduire en I3 pour obtenir automatiquement l'âge correct de chaque personne ? Modifier la cellule en ce sens.</t>
    </r>
  </si>
  <si>
    <r>
      <t xml:space="preserve">  </t>
    </r>
    <r>
      <rPr>
        <b/>
        <sz val="11"/>
        <color theme="1"/>
        <rFont val="Calibri"/>
        <family val="2"/>
        <scheme val="minor"/>
      </rPr>
      <t>6.</t>
    </r>
    <r>
      <rPr>
        <sz val="11"/>
        <color theme="1"/>
        <rFont val="Calibri"/>
        <family val="2"/>
        <scheme val="minor"/>
      </rPr>
      <t xml:space="preserve"> La colonne "Bon" ne peut afficher que "cadeau", "promo". Prévoir un message d'erreur en cas de saisie incorrecte. Ne rien ajouter dans la feuille de calcul.</t>
    </r>
  </si>
  <si>
    <r>
      <t xml:space="preserve">  </t>
    </r>
    <r>
      <rPr>
        <b/>
        <sz val="11"/>
        <rFont val="Calibri"/>
        <family val="2"/>
        <scheme val="minor"/>
      </rPr>
      <t xml:space="preserve">8. </t>
    </r>
    <r>
      <rPr>
        <sz val="11"/>
        <rFont val="Calibri"/>
        <family val="2"/>
        <scheme val="minor"/>
      </rPr>
      <t>La colonne "DATE NAISS." ne doit accepter qu'une valeur de type date enre le 01.01.1920 et le 31.12.2050. Prévoir un message d'aide à la saisie qui indique le format de la date à saisir. Refuser toute autre saisie.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</si>
</sst>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ans&quot;"/>
  </numFmts>
  <fonts count="6" x14ac:knownFonts="1">
    <font>
      <sz val="11"/>
      <color theme="1"/>
      <name val="Calibri"/>
      <family val="2"/>
      <scheme val="minor"/>
    </font>
    <font>
      <b/>
      <sz val="11"/>
      <color theme="1"/>
      <name val="Calibri"/>
      <family val="2"/>
      <scheme val="minor"/>
    </font>
    <font>
      <sz val="11"/>
      <name val="Calibri"/>
      <family val="2"/>
      <scheme val="minor"/>
    </font>
    <font>
      <b/>
      <sz val="16"/>
      <color theme="1"/>
      <name val="Calibri"/>
      <family val="2"/>
      <scheme val="minor"/>
    </font>
    <font>
      <b/>
      <sz val="12"/>
      <color theme="1"/>
      <name val="Calibri"/>
      <family val="2"/>
      <scheme val="minor"/>
    </font>
    <font>
      <b/>
      <sz val="11"/>
      <name val="Calibri"/>
      <family val="2"/>
      <scheme val="minor"/>
    </font>
  </fonts>
  <fills count="3">
    <fill>
      <patternFill patternType="none"/>
    </fill>
    <fill>
      <patternFill patternType="gray125"/>
    </fill>
    <fill>
      <patternFill patternType="solid">
        <fgColor theme="0" tint="-0.149998474074526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double">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s>
  <cellStyleXfs count="1">
    <xf numFmtId="0" fontId="0" fillId="0" borderId="0"/>
  </cellStyleXfs>
  <cellXfs count="39">
    <xf numFmtId="0" fontId="0" fillId="0" borderId="0" xfId="0"/>
    <xf numFmtId="0" fontId="0" fillId="0" borderId="0" xfId="0" applyProtection="1">
      <protection locked="0"/>
    </xf>
    <xf numFmtId="0" fontId="0" fillId="0" borderId="3" xfId="0" applyBorder="1" applyProtection="1">
      <protection locked="0"/>
    </xf>
    <xf numFmtId="0" fontId="0" fillId="0" borderId="7" xfId="0" applyBorder="1" applyProtection="1">
      <protection locked="0"/>
    </xf>
    <xf numFmtId="0" fontId="0" fillId="0" borderId="4" xfId="0" applyBorder="1" applyAlignment="1" applyProtection="1">
      <alignment horizontal="right"/>
      <protection locked="0"/>
    </xf>
    <xf numFmtId="9" fontId="0" fillId="0" borderId="4" xfId="0" applyNumberFormat="1" applyBorder="1" applyProtection="1">
      <protection locked="0"/>
    </xf>
    <xf numFmtId="0" fontId="0" fillId="0" borderId="11"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8" xfId="0" applyBorder="1" applyProtection="1">
      <protection locked="0"/>
    </xf>
    <xf numFmtId="0" fontId="0" fillId="0" borderId="1" xfId="0" applyBorder="1" applyProtection="1">
      <protection locked="0"/>
    </xf>
    <xf numFmtId="2" fontId="0" fillId="0" borderId="9" xfId="0" applyNumberFormat="1" applyBorder="1" applyProtection="1">
      <protection locked="0"/>
    </xf>
    <xf numFmtId="0" fontId="0" fillId="0" borderId="5" xfId="0" applyBorder="1" applyProtection="1">
      <protection locked="0"/>
    </xf>
    <xf numFmtId="9" fontId="0" fillId="0" borderId="6" xfId="0" applyNumberFormat="1" applyBorder="1" applyProtection="1">
      <protection locked="0"/>
    </xf>
    <xf numFmtId="0" fontId="0" fillId="0" borderId="10" xfId="0" applyBorder="1" applyProtection="1">
      <protection locked="0"/>
    </xf>
    <xf numFmtId="2" fontId="0" fillId="0" borderId="6" xfId="0" applyNumberFormat="1" applyBorder="1" applyProtection="1">
      <protection locked="0"/>
    </xf>
    <xf numFmtId="0" fontId="1" fillId="0" borderId="11" xfId="0" applyFont="1" applyBorder="1" applyAlignment="1" applyProtection="1">
      <alignment horizontal="center" vertical="center"/>
      <protection locked="0"/>
    </xf>
    <xf numFmtId="0" fontId="1" fillId="0" borderId="12" xfId="0" applyFont="1" applyBorder="1" applyAlignment="1" applyProtection="1">
      <alignment horizontal="center" vertical="center"/>
      <protection locked="0"/>
    </xf>
    <xf numFmtId="0" fontId="1" fillId="0" borderId="13" xfId="0" applyFont="1" applyBorder="1" applyAlignment="1" applyProtection="1">
      <alignment horizontal="center" vertical="center"/>
      <protection locked="0"/>
    </xf>
    <xf numFmtId="0" fontId="0" fillId="0" borderId="0" xfId="0" applyNumberFormat="1" applyProtection="1">
      <protection locked="0"/>
    </xf>
    <xf numFmtId="14" fontId="0" fillId="0" borderId="1" xfId="0" applyNumberFormat="1" applyBorder="1" applyProtection="1">
      <protection locked="0"/>
    </xf>
    <xf numFmtId="14" fontId="0" fillId="0" borderId="10" xfId="0" applyNumberFormat="1" applyBorder="1" applyProtection="1">
      <protection locked="0"/>
    </xf>
    <xf numFmtId="0" fontId="4" fillId="0" borderId="0" xfId="0" applyFont="1" applyProtection="1">
      <protection locked="0"/>
    </xf>
    <xf numFmtId="2" fontId="0" fillId="2" borderId="1" xfId="0" applyNumberFormat="1" applyFill="1" applyBorder="1" applyProtection="1"/>
    <xf numFmtId="2" fontId="0" fillId="2" borderId="10" xfId="0" applyNumberFormat="1" applyFill="1" applyBorder="1" applyProtection="1"/>
    <xf numFmtId="14" fontId="0" fillId="0" borderId="0" xfId="0" applyNumberFormat="1"/>
    <xf numFmtId="164" fontId="2" fillId="2" borderId="1" xfId="0" applyNumberFormat="1" applyFont="1" applyFill="1" applyBorder="1" applyProtection="1"/>
    <xf numFmtId="0" fontId="0" fillId="2" borderId="9" xfId="0" applyFill="1" applyBorder="1" applyProtection="1"/>
    <xf numFmtId="164" fontId="2" fillId="2" borderId="10" xfId="0" applyNumberFormat="1" applyFont="1" applyFill="1" applyBorder="1" applyProtection="1"/>
    <xf numFmtId="0" fontId="0" fillId="2" borderId="6" xfId="0" applyFill="1" applyBorder="1" applyProtection="1"/>
    <xf numFmtId="0" fontId="0" fillId="0" borderId="14" xfId="0" applyBorder="1" applyProtection="1">
      <protection locked="0"/>
    </xf>
    <xf numFmtId="14" fontId="0" fillId="0" borderId="15" xfId="0" applyNumberFormat="1" applyBorder="1" applyProtection="1">
      <protection locked="0"/>
    </xf>
    <xf numFmtId="0" fontId="0" fillId="0" borderId="15" xfId="0" applyBorder="1" applyProtection="1">
      <protection locked="0"/>
    </xf>
    <xf numFmtId="164" fontId="2" fillId="2" borderId="15" xfId="0" applyNumberFormat="1" applyFont="1" applyFill="1" applyBorder="1" applyProtection="1"/>
    <xf numFmtId="2" fontId="0" fillId="2" borderId="15" xfId="0" applyNumberFormat="1" applyFill="1" applyBorder="1" applyProtection="1"/>
    <xf numFmtId="0" fontId="0" fillId="2" borderId="16" xfId="0" applyFill="1" applyBorder="1" applyProtection="1"/>
    <xf numFmtId="0" fontId="2" fillId="0" borderId="0" xfId="0" applyFont="1" applyAlignment="1">
      <alignment wrapText="1"/>
    </xf>
    <xf numFmtId="0" fontId="0" fillId="0" borderId="0" xfId="0" applyAlignment="1">
      <alignment wrapText="1"/>
    </xf>
    <xf numFmtId="0" fontId="3" fillId="0" borderId="2" xfId="0" applyFont="1" applyBorder="1" applyAlignment="1" applyProtection="1">
      <alignment horizontal="center"/>
      <protection locked="0"/>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9"/>
  <sheetViews>
    <sheetView tabSelected="1" topLeftCell="A7" workbookViewId="0">
      <selection activeCell="A28" sqref="A28:I28"/>
    </sheetView>
  </sheetViews>
  <sheetFormatPr baseColWidth="10" defaultRowHeight="15" x14ac:dyDescent="0.25"/>
  <cols>
    <col min="1" max="1" width="11.42578125" style="1"/>
    <col min="2" max="2" width="16" style="1" customWidth="1"/>
    <col min="3" max="3" width="12.7109375" style="1" customWidth="1"/>
    <col min="4" max="5" width="11.42578125" style="1"/>
    <col min="6" max="6" width="14.140625" style="1" customWidth="1"/>
    <col min="7" max="7" width="12.85546875" style="1" customWidth="1"/>
    <col min="8" max="8" width="13.42578125" style="1" customWidth="1"/>
    <col min="9" max="9" width="22.7109375" style="1" customWidth="1"/>
    <col min="10" max="16384" width="11.42578125" style="1"/>
  </cols>
  <sheetData>
    <row r="1" spans="1:11" ht="21.75" thickBot="1" x14ac:dyDescent="0.4">
      <c r="A1" s="37" t="s">
        <v>22</v>
      </c>
      <c r="B1" s="37"/>
      <c r="C1" s="37"/>
      <c r="D1" s="37"/>
      <c r="E1" s="37"/>
      <c r="F1" s="37"/>
      <c r="G1" s="37"/>
      <c r="H1" s="37"/>
      <c r="I1" s="37"/>
    </row>
    <row r="2" spans="1:11" ht="16.5" thickTop="1" thickBot="1" x14ac:dyDescent="0.3"/>
    <row r="3" spans="1:11" ht="18" customHeight="1" thickBot="1" x14ac:dyDescent="0.3">
      <c r="A3" s="2" t="s">
        <v>0</v>
      </c>
      <c r="B3" s="3"/>
      <c r="C3" s="4" t="s">
        <v>3</v>
      </c>
      <c r="E3" s="2" t="s">
        <v>18</v>
      </c>
      <c r="F3" s="5">
        <v>0.1</v>
      </c>
      <c r="H3" s="6" t="s">
        <v>27</v>
      </c>
      <c r="I3" s="7">
        <v>2017</v>
      </c>
    </row>
    <row r="4" spans="1:11" ht="15.75" thickBot="1" x14ac:dyDescent="0.3">
      <c r="A4" s="8" t="s">
        <v>1</v>
      </c>
      <c r="B4" s="9"/>
      <c r="C4" s="10">
        <v>3</v>
      </c>
      <c r="E4" s="11" t="s">
        <v>19</v>
      </c>
      <c r="F4" s="12">
        <v>0.05</v>
      </c>
    </row>
    <row r="5" spans="1:11" ht="15.75" thickBot="1" x14ac:dyDescent="0.3">
      <c r="A5" s="11" t="s">
        <v>2</v>
      </c>
      <c r="B5" s="13"/>
      <c r="C5" s="14">
        <v>5.5</v>
      </c>
    </row>
    <row r="7" spans="1:11" ht="15.75" thickBot="1" x14ac:dyDescent="0.3"/>
    <row r="8" spans="1:11" ht="28.5" customHeight="1" thickBot="1" x14ac:dyDescent="0.3">
      <c r="A8" s="15" t="s">
        <v>23</v>
      </c>
      <c r="B8" s="16" t="s">
        <v>24</v>
      </c>
      <c r="C8" s="16" t="s">
        <v>25</v>
      </c>
      <c r="D8" s="16" t="s">
        <v>15</v>
      </c>
      <c r="E8" s="16" t="s">
        <v>26</v>
      </c>
      <c r="F8" s="16" t="s">
        <v>30</v>
      </c>
      <c r="G8" s="16" t="s">
        <v>16</v>
      </c>
      <c r="H8" s="16" t="s">
        <v>31</v>
      </c>
      <c r="I8" s="17" t="s">
        <v>17</v>
      </c>
    </row>
    <row r="9" spans="1:11" x14ac:dyDescent="0.25">
      <c r="A9" s="29" t="s">
        <v>4</v>
      </c>
      <c r="B9" s="30">
        <v>37234</v>
      </c>
      <c r="C9" s="31" t="s">
        <v>14</v>
      </c>
      <c r="D9" s="31" t="s">
        <v>20</v>
      </c>
      <c r="E9" s="32">
        <f t="shared" ref="E9:E16" si="0">$I$3-YEAR(B9)</f>
        <v>16</v>
      </c>
      <c r="F9" s="33">
        <f t="shared" ref="F9:F16" si="1">IF(E9&lt;7,0,IF(E9&lt;=16,$C$4,$C$5))</f>
        <v>3</v>
      </c>
      <c r="G9" s="33">
        <f t="shared" ref="G9:G16" si="2">IF(D9="cadeau",$F$3*F9,IF(D9="promo",$F$4*F9,0))</f>
        <v>0.30000000000000004</v>
      </c>
      <c r="H9" s="33">
        <f>INT((F9-G9)*20+0.5)/20</f>
        <v>2.7</v>
      </c>
      <c r="I9" s="34" t="str">
        <f t="shared" ref="I9:I16" si="3">IF(D9="cadeau","a reçu un bon cadeau",IF(D9="promo","a reçu un bon promo","n'a pas reçu de bon"))</f>
        <v>a reçu un bon cadeau</v>
      </c>
      <c r="K9" s="18"/>
    </row>
    <row r="10" spans="1:11" x14ac:dyDescent="0.25">
      <c r="A10" s="8" t="s">
        <v>5</v>
      </c>
      <c r="B10" s="19">
        <v>33228</v>
      </c>
      <c r="C10" s="9" t="s">
        <v>12</v>
      </c>
      <c r="D10" s="9" t="s">
        <v>20</v>
      </c>
      <c r="E10" s="25">
        <f t="shared" si="0"/>
        <v>27</v>
      </c>
      <c r="F10" s="22">
        <f t="shared" si="1"/>
        <v>5.5</v>
      </c>
      <c r="G10" s="22">
        <f t="shared" si="2"/>
        <v>0.55000000000000004</v>
      </c>
      <c r="H10" s="22">
        <f t="shared" ref="H10:H16" si="4">INT((F10-G10)*20+0.5)/20</f>
        <v>4.95</v>
      </c>
      <c r="I10" s="26" t="str">
        <f t="shared" si="3"/>
        <v>a reçu un bon cadeau</v>
      </c>
      <c r="K10" s="18"/>
    </row>
    <row r="11" spans="1:11" x14ac:dyDescent="0.25">
      <c r="A11" s="8" t="s">
        <v>6</v>
      </c>
      <c r="B11" s="19">
        <v>34624</v>
      </c>
      <c r="C11" s="9" t="s">
        <v>14</v>
      </c>
      <c r="D11" s="9" t="s">
        <v>21</v>
      </c>
      <c r="E11" s="25">
        <f t="shared" si="0"/>
        <v>23</v>
      </c>
      <c r="F11" s="22">
        <f t="shared" si="1"/>
        <v>5.5</v>
      </c>
      <c r="G11" s="22">
        <f t="shared" si="2"/>
        <v>0.27500000000000002</v>
      </c>
      <c r="H11" s="22">
        <f t="shared" si="4"/>
        <v>5.25</v>
      </c>
      <c r="I11" s="26" t="str">
        <f t="shared" si="3"/>
        <v>a reçu un bon promo</v>
      </c>
      <c r="K11" s="18"/>
    </row>
    <row r="12" spans="1:11" x14ac:dyDescent="0.25">
      <c r="A12" s="8" t="s">
        <v>7</v>
      </c>
      <c r="B12" s="19">
        <v>37991</v>
      </c>
      <c r="C12" s="9" t="s">
        <v>13</v>
      </c>
      <c r="D12" s="9"/>
      <c r="E12" s="25">
        <f t="shared" si="0"/>
        <v>13</v>
      </c>
      <c r="F12" s="22">
        <f t="shared" si="1"/>
        <v>3</v>
      </c>
      <c r="G12" s="22">
        <f t="shared" si="2"/>
        <v>0</v>
      </c>
      <c r="H12" s="22">
        <f t="shared" si="4"/>
        <v>3</v>
      </c>
      <c r="I12" s="26" t="str">
        <f t="shared" si="3"/>
        <v>n'a pas reçu de bon</v>
      </c>
      <c r="K12" s="18"/>
    </row>
    <row r="13" spans="1:11" x14ac:dyDescent="0.25">
      <c r="A13" s="8" t="s">
        <v>8</v>
      </c>
      <c r="B13" s="19">
        <v>40162</v>
      </c>
      <c r="C13" s="9" t="s">
        <v>12</v>
      </c>
      <c r="D13" s="9" t="s">
        <v>21</v>
      </c>
      <c r="E13" s="25">
        <f t="shared" si="0"/>
        <v>8</v>
      </c>
      <c r="F13" s="22">
        <f t="shared" si="1"/>
        <v>3</v>
      </c>
      <c r="G13" s="22">
        <f t="shared" si="2"/>
        <v>0.15000000000000002</v>
      </c>
      <c r="H13" s="22">
        <f t="shared" si="4"/>
        <v>2.85</v>
      </c>
      <c r="I13" s="26" t="str">
        <f t="shared" si="3"/>
        <v>a reçu un bon promo</v>
      </c>
      <c r="K13" s="18"/>
    </row>
    <row r="14" spans="1:11" x14ac:dyDescent="0.25">
      <c r="A14" s="8" t="s">
        <v>9</v>
      </c>
      <c r="B14" s="19">
        <v>39874</v>
      </c>
      <c r="C14" s="9" t="s">
        <v>12</v>
      </c>
      <c r="D14" s="9"/>
      <c r="E14" s="25">
        <f t="shared" si="0"/>
        <v>8</v>
      </c>
      <c r="F14" s="22">
        <f t="shared" si="1"/>
        <v>3</v>
      </c>
      <c r="G14" s="22">
        <f t="shared" si="2"/>
        <v>0</v>
      </c>
      <c r="H14" s="22">
        <f t="shared" si="4"/>
        <v>3</v>
      </c>
      <c r="I14" s="26" t="str">
        <f t="shared" si="3"/>
        <v>n'a pas reçu de bon</v>
      </c>
      <c r="K14" s="18"/>
    </row>
    <row r="15" spans="1:11" x14ac:dyDescent="0.25">
      <c r="A15" s="8" t="s">
        <v>10</v>
      </c>
      <c r="B15" s="19">
        <v>35792</v>
      </c>
      <c r="C15" s="9" t="s">
        <v>13</v>
      </c>
      <c r="D15" s="9"/>
      <c r="E15" s="25">
        <f t="shared" si="0"/>
        <v>20</v>
      </c>
      <c r="F15" s="22">
        <f t="shared" si="1"/>
        <v>5.5</v>
      </c>
      <c r="G15" s="22">
        <f t="shared" si="2"/>
        <v>0</v>
      </c>
      <c r="H15" s="22">
        <f t="shared" si="4"/>
        <v>5.5</v>
      </c>
      <c r="I15" s="26" t="str">
        <f t="shared" si="3"/>
        <v>n'a pas reçu de bon</v>
      </c>
      <c r="K15" s="18"/>
    </row>
    <row r="16" spans="1:11" ht="15.75" thickBot="1" x14ac:dyDescent="0.3">
      <c r="A16" s="11" t="s">
        <v>11</v>
      </c>
      <c r="B16" s="20">
        <v>33727</v>
      </c>
      <c r="C16" s="13" t="s">
        <v>13</v>
      </c>
      <c r="D16" s="13" t="s">
        <v>20</v>
      </c>
      <c r="E16" s="27">
        <f t="shared" si="0"/>
        <v>25</v>
      </c>
      <c r="F16" s="23">
        <f t="shared" si="1"/>
        <v>5.5</v>
      </c>
      <c r="G16" s="23">
        <f t="shared" si="2"/>
        <v>0.55000000000000004</v>
      </c>
      <c r="H16" s="23">
        <f t="shared" si="4"/>
        <v>4.95</v>
      </c>
      <c r="I16" s="28" t="str">
        <f t="shared" si="3"/>
        <v>a reçu un bon cadeau</v>
      </c>
      <c r="K16" s="18"/>
    </row>
    <row r="18" spans="1:9" ht="15.75" x14ac:dyDescent="0.25">
      <c r="A18" s="21" t="s">
        <v>28</v>
      </c>
    </row>
    <row r="19" spans="1:9" ht="15.75" x14ac:dyDescent="0.25">
      <c r="A19" s="21"/>
    </row>
    <row r="20" spans="1:9" x14ac:dyDescent="0.25">
      <c r="A20" t="s">
        <v>32</v>
      </c>
      <c r="B20"/>
      <c r="C20"/>
      <c r="D20"/>
      <c r="E20"/>
      <c r="F20"/>
      <c r="G20"/>
      <c r="H20"/>
      <c r="I20"/>
    </row>
    <row r="21" spans="1:9" x14ac:dyDescent="0.25">
      <c r="A21" t="s">
        <v>33</v>
      </c>
      <c r="B21"/>
      <c r="C21"/>
      <c r="D21"/>
      <c r="E21"/>
      <c r="F21"/>
      <c r="G21"/>
      <c r="H21"/>
      <c r="I21"/>
    </row>
    <row r="22" spans="1:9" x14ac:dyDescent="0.25">
      <c r="A22" t="s">
        <v>34</v>
      </c>
      <c r="B22"/>
      <c r="C22"/>
      <c r="D22"/>
      <c r="E22"/>
      <c r="F22"/>
      <c r="G22"/>
      <c r="H22"/>
      <c r="I22"/>
    </row>
    <row r="23" spans="1:9" x14ac:dyDescent="0.25">
      <c r="A23" t="s">
        <v>35</v>
      </c>
      <c r="B23"/>
      <c r="C23"/>
      <c r="D23"/>
      <c r="E23"/>
      <c r="F23" s="24"/>
      <c r="G23"/>
      <c r="H23"/>
      <c r="I23"/>
    </row>
    <row r="24" spans="1:9" ht="30.75" customHeight="1" x14ac:dyDescent="0.25">
      <c r="A24" s="36" t="s">
        <v>36</v>
      </c>
      <c r="B24" s="36"/>
      <c r="C24" s="36"/>
      <c r="D24" s="36"/>
      <c r="E24" s="36"/>
      <c r="F24" s="36"/>
      <c r="G24" s="36"/>
      <c r="H24" s="36"/>
      <c r="I24" s="36"/>
    </row>
    <row r="25" spans="1:9" ht="33.75" customHeight="1" x14ac:dyDescent="0.25">
      <c r="A25" s="38" t="s">
        <v>39</v>
      </c>
      <c r="B25" s="38"/>
      <c r="C25" s="38"/>
      <c r="D25" s="38"/>
      <c r="E25" s="38"/>
      <c r="F25" s="38"/>
      <c r="G25" s="38"/>
      <c r="H25" s="38"/>
      <c r="I25" s="38"/>
    </row>
    <row r="26" spans="1:9" ht="17.25" customHeight="1" x14ac:dyDescent="0.25">
      <c r="A26" s="35" t="s">
        <v>37</v>
      </c>
      <c r="B26" s="35"/>
      <c r="C26" s="35"/>
      <c r="D26" s="35"/>
      <c r="E26" s="35"/>
      <c r="F26" s="35"/>
      <c r="G26" s="35"/>
      <c r="H26" s="35"/>
      <c r="I26" s="35"/>
    </row>
    <row r="27" spans="1:9" ht="31.5" customHeight="1" x14ac:dyDescent="0.25">
      <c r="A27" s="35" t="s">
        <v>40</v>
      </c>
      <c r="B27" s="35"/>
      <c r="C27" s="35"/>
      <c r="D27" s="35"/>
      <c r="E27" s="35"/>
      <c r="F27" s="35"/>
      <c r="G27" s="35"/>
      <c r="H27" s="35"/>
      <c r="I27" s="35"/>
    </row>
    <row r="28" spans="1:9" ht="15" customHeight="1" x14ac:dyDescent="0.25">
      <c r="A28" s="35" t="s">
        <v>38</v>
      </c>
      <c r="B28" s="35"/>
      <c r="C28" s="35"/>
      <c r="D28" s="35"/>
      <c r="E28" s="35"/>
      <c r="F28" s="35"/>
      <c r="G28" s="35"/>
      <c r="H28" s="35"/>
      <c r="I28" s="35"/>
    </row>
    <row r="29" spans="1:9" ht="29.25" customHeight="1" x14ac:dyDescent="0.25">
      <c r="A29" s="36" t="s">
        <v>29</v>
      </c>
      <c r="B29" s="36"/>
      <c r="C29" s="36"/>
      <c r="D29" s="36"/>
      <c r="E29" s="36"/>
      <c r="F29" s="36"/>
      <c r="G29" s="36"/>
      <c r="H29" s="36"/>
      <c r="I29" s="36"/>
    </row>
  </sheetData>
  <sheetProtection formatCells="0" selectLockedCells="1"/>
  <mergeCells count="7">
    <mergeCell ref="A28:I28"/>
    <mergeCell ref="A29:I29"/>
    <mergeCell ref="A27:I27"/>
    <mergeCell ref="A1:I1"/>
    <mergeCell ref="A24:I24"/>
    <mergeCell ref="A25:I25"/>
    <mergeCell ref="A26:I26"/>
  </mergeCells>
  <dataValidations disablePrompts="1" count="3">
    <dataValidation errorStyle="warning" allowBlank="1" showInputMessage="1" showErrorMessage="1" sqref="D9:D16" xr:uid="{00000000-0002-0000-0000-000000000000}"/>
    <dataValidation type="list" errorStyle="warning" allowBlank="1" showInputMessage="1" showErrorMessage="1" sqref="C9:C16" xr:uid="{00000000-0002-0000-0000-000001000000}">
      <formula1>"Non,Débutant,Confirmé"</formula1>
    </dataValidation>
    <dataValidation type="date" allowBlank="1" showInputMessage="1" showErrorMessage="1" prompt="Saisir une date entre le 01.01.1990 et le 31.12.2050" sqref="B9:B16" xr:uid="{00000000-0002-0000-0000-000002000000}">
      <formula1>32874</formula1>
      <formula2>55153</formula2>
    </dataValidation>
  </dataValidations>
  <printOptions horizontalCentered="1" headings="1"/>
  <pageMargins left="0.9055118110236221" right="0.9055118110236221" top="0.74803149606299213" bottom="0.74803149606299213" header="0.31496062992125984" footer="0.31496062992125984"/>
  <pageSetup paperSize="183" scale="33" orientation="landscape" r:id="rId1"/>
  <headerFooter>
    <oddFooter>&amp;C&amp;9Piscine municipale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Piscine municipale</vt:lpstr>
      <vt:lpstr>'Piscine municipale'!Zone_d_impression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Balet, JEAN-RENE</dc:creator>
  <cp:lastModifiedBy>Michèle Grosset-Bovier</cp:lastModifiedBy>
  <cp:lastPrinted>2021-02-06T16:57:18Z</cp:lastPrinted>
  <dcterms:created xsi:type="dcterms:W3CDTF">2014-01-24T07:56:17Z</dcterms:created>
  <dcterms:modified xsi:type="dcterms:W3CDTF">2021-02-06T16:57:20Z</dcterms:modified>
</cp:coreProperties>
</file>