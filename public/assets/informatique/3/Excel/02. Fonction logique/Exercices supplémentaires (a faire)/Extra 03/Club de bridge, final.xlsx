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000000 - 2021-2022- Support de cours\1re année\1re, ICA-I\1re, I - finaux\Sem. 1\"/>
    </mc:Choice>
  </mc:AlternateContent>
  <xr:revisionPtr revIDLastSave="0" documentId="13_ncr:1_{8B15478C-8748-485E-9579-933D75DFBBFD}" xr6:coauthVersionLast="36" xr6:coauthVersionMax="36" xr10:uidLastSave="{00000000-0000-0000-0000-000000000000}"/>
  <bookViews>
    <workbookView xWindow="120" yWindow="105" windowWidth="19440" windowHeight="12240" xr2:uid="{00000000-000D-0000-FFFF-FFFF00000000}"/>
  </bookViews>
  <sheets>
    <sheet name="Club de bridge" sheetId="2" r:id="rId1"/>
  </sheets>
  <definedNames>
    <definedName name="_xlnm.Print_Area" localSheetId="0">'Club de bridge'!$A$1:$J$24</definedName>
  </definedNames>
  <calcPr calcId="191029"/>
</workbook>
</file>

<file path=xl/calcChain.xml><?xml version="1.0" encoding="utf-8"?>
<calcChain xmlns="http://schemas.openxmlformats.org/spreadsheetml/2006/main">
  <c r="B24" i="2" l="1"/>
  <c r="H21" i="2"/>
  <c r="H20" i="2"/>
  <c r="H19" i="2"/>
  <c r="H18" i="2"/>
  <c r="H17" i="2"/>
  <c r="H16" i="2"/>
  <c r="H15" i="2"/>
  <c r="H14" i="2"/>
  <c r="H13" i="2"/>
  <c r="H12" i="2"/>
  <c r="E19" i="2"/>
  <c r="G19" i="2" l="1"/>
  <c r="I19" i="2" s="1"/>
  <c r="F19" i="2"/>
  <c r="E12" i="2"/>
  <c r="E16" i="2"/>
  <c r="E20" i="2"/>
  <c r="E13" i="2"/>
  <c r="E17" i="2"/>
  <c r="E21" i="2"/>
  <c r="E14" i="2"/>
  <c r="E18" i="2"/>
  <c r="E15" i="2"/>
  <c r="F13" i="2" l="1"/>
  <c r="G13" i="2"/>
  <c r="I13" i="2" s="1"/>
  <c r="G21" i="2"/>
  <c r="I21" i="2" s="1"/>
  <c r="F21" i="2"/>
  <c r="G16" i="2"/>
  <c r="I16" i="2" s="1"/>
  <c r="F16" i="2"/>
  <c r="G15" i="2"/>
  <c r="I15" i="2" s="1"/>
  <c r="F15" i="2"/>
  <c r="G17" i="2"/>
  <c r="I17" i="2" s="1"/>
  <c r="F17" i="2"/>
  <c r="G12" i="2"/>
  <c r="I12" i="2" s="1"/>
  <c r="F12" i="2"/>
  <c r="F18" i="2"/>
  <c r="G18" i="2"/>
  <c r="I18" i="2" s="1"/>
  <c r="G14" i="2"/>
  <c r="I14" i="2" s="1"/>
  <c r="F14" i="2"/>
  <c r="G20" i="2"/>
  <c r="I20" i="2" s="1"/>
  <c r="F20" i="2"/>
  <c r="B23" i="2" l="1"/>
  <c r="J19" i="2" s="1"/>
  <c r="J16" i="2" l="1"/>
  <c r="J21" i="2"/>
  <c r="J13" i="2"/>
  <c r="J20" i="2"/>
  <c r="J18" i="2"/>
  <c r="J14" i="2"/>
  <c r="J15" i="2"/>
  <c r="J17" i="2"/>
  <c r="J12" i="2" l="1"/>
</calcChain>
</file>

<file path=xl/sharedStrings.xml><?xml version="1.0" encoding="utf-8"?>
<sst xmlns="http://schemas.openxmlformats.org/spreadsheetml/2006/main" count="75" uniqueCount="67">
  <si>
    <t>NOM</t>
  </si>
  <si>
    <t>CLUB DE BRIDGE</t>
  </si>
  <si>
    <t>ANNEE EN COURS</t>
  </si>
  <si>
    <t>COTISATION JUNIOR</t>
  </si>
  <si>
    <t>COTISATION SENIOR</t>
  </si>
  <si>
    <t>PRENOM</t>
  </si>
  <si>
    <t>NAISSANCE</t>
  </si>
  <si>
    <t>ABO</t>
  </si>
  <si>
    <t>AGE</t>
  </si>
  <si>
    <t>CATEGORIE</t>
  </si>
  <si>
    <t>COTISATION</t>
  </si>
  <si>
    <t>REVUE</t>
  </si>
  <si>
    <t>TOTAL</t>
  </si>
  <si>
    <t>Devillaz</t>
  </si>
  <si>
    <t>Claude</t>
  </si>
  <si>
    <t>OUI</t>
  </si>
  <si>
    <t>Duclos</t>
  </si>
  <si>
    <t>Germain</t>
  </si>
  <si>
    <t>Dumoulin</t>
  </si>
  <si>
    <t>Marcel</t>
  </si>
  <si>
    <t>NON</t>
  </si>
  <si>
    <t>Fournier</t>
  </si>
  <si>
    <t>Claire</t>
  </si>
  <si>
    <t>Hagen</t>
  </si>
  <si>
    <t>Franz</t>
  </si>
  <si>
    <t>Lagger</t>
  </si>
  <si>
    <t>Daniel</t>
  </si>
  <si>
    <t>Léger</t>
  </si>
  <si>
    <t>Lucien</t>
  </si>
  <si>
    <t>Petit</t>
  </si>
  <si>
    <t>Maurice</t>
  </si>
  <si>
    <t>Prevost</t>
  </si>
  <si>
    <t>Paul</t>
  </si>
  <si>
    <t>Rigolet</t>
  </si>
  <si>
    <t>Robert</t>
  </si>
  <si>
    <t>TOTAL A PAYER</t>
  </si>
  <si>
    <t>NBRE MEMBRES</t>
  </si>
  <si>
    <t>F12 =</t>
  </si>
  <si>
    <t>G12 =</t>
  </si>
  <si>
    <t>H12 =</t>
  </si>
  <si>
    <t>I12 =</t>
  </si>
  <si>
    <t>POURCENTAGE</t>
  </si>
  <si>
    <t>E12 =</t>
  </si>
  <si>
    <t>B23 =</t>
  </si>
  <si>
    <t>B24 =</t>
  </si>
  <si>
    <t>ABONNEMENT REVUE</t>
  </si>
  <si>
    <t>B) Colonne F : les personnes de moins de 20 ans sont des juniors et les autres des seniors.</t>
  </si>
  <si>
    <t>C) Colonne G : le montant de la cotisation se trouve en B6 pour les juniors et en B7 pour les seniors.</t>
  </si>
  <si>
    <t>D) Colonne H : si la colonne D est égale à OUI, il faut ajouter Fr. 25.- (B8) pour l'abonnement à la revue du club (zéro sinon).</t>
  </si>
  <si>
    <t>E) Colonne I : le montant total est égal au montant de la cotisation ajouté à celui de l'abonnement à la revue, arrondi à 5 ct.</t>
  </si>
  <si>
    <t>F) Ajouter les formules des cellules B23 et B24.</t>
  </si>
  <si>
    <t>G) Respecter l'exemple pour la mise en forme des cellules.</t>
  </si>
  <si>
    <t>I) Le texte "oui" de la colonne D doit apparaître automatiquement en vert foncé sur fond de remplissage vert clair.</t>
  </si>
  <si>
    <t>J) Afficher en colonne J, le pourcentage que représente chaque membre par rapport au total à payer de tous les membres.
     Ce pourcentage apparaîtra avec le signe % et 2 décimales.</t>
  </si>
  <si>
    <t>K) Préparer ce tableau pour l'impression en respectant les indications suivantes :</t>
  </si>
  <si>
    <t>B5 =</t>
  </si>
  <si>
    <t>A) Colonne E : prendre en compte l'année (B5) pour le calcul de l'âge.</t>
  </si>
  <si>
    <t xml:space="preserve">      - unique pied de page, à droite : nom automatique du fichier (Arial, 13 pts, gras).</t>
  </si>
  <si>
    <t>Indications :</t>
  </si>
  <si>
    <t xml:space="preserve">      - mode portrait, centré en largeur (horizontalement), ajusté sur une page ;</t>
  </si>
  <si>
    <t xml:space="preserve">      - pas de quadrillage, pas de numéros de lignes / colonnes ;</t>
  </si>
  <si>
    <t xml:space="preserve">      - unique en-tête, à gauche : Sion, le date du jour (Arial, 12  pts, italique) ;</t>
  </si>
  <si>
    <t>Réponses :</t>
  </si>
  <si>
    <t>H) Afficher automatiquement les années de naissance inférieures à 1970 en bleu sur fond de remplissage jaune.</t>
  </si>
  <si>
    <t>J12 =</t>
  </si>
  <si>
    <t xml:space="preserve">      - n'imprimer que la plage de cellules de A1 à J24 ;</t>
  </si>
  <si>
    <t>Quelle serait la fonction à utiliser en B5 pour que l'âge (colonne E) soit continuellement mis à jour automatiquement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</si>
</sst>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€]\ #,##0.00;[Red][$€]\ \-#,##0.00"/>
    <numFmt numFmtId="165" formatCode="#,##0.00_ ;\-#,##0.00\ "/>
    <numFmt numFmtId="166" formatCode="0\ &quot;membres&quot;"/>
    <numFmt numFmtId="167" formatCode="_ [$CHF]\ * #,##0.00_ ;_ [$CHF]\ * \-#,##0.00_ ;_ [$CHF]\ * &quot;-&quot;??_ ;_ @_ "/>
    <numFmt numFmtId="168" formatCode="0\ &quot;ans&quot;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2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sz val="11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164" fontId="4" fillId="0" borderId="0" applyFont="0" applyFill="0" applyBorder="0" applyAlignment="0" applyProtection="0"/>
    <xf numFmtId="0" fontId="5" fillId="0" borderId="0"/>
    <xf numFmtId="40" fontId="9" fillId="0" borderId="0" applyFont="0" applyFill="0" applyBorder="0" applyAlignment="0" applyProtection="0"/>
    <xf numFmtId="0" fontId="5" fillId="0" borderId="0"/>
    <xf numFmtId="0" fontId="5" fillId="0" borderId="0"/>
    <xf numFmtId="0" fontId="9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7" fillId="0" borderId="0" xfId="2" applyFont="1"/>
    <xf numFmtId="0" fontId="2" fillId="0" borderId="0" xfId="2" applyFont="1" applyAlignment="1">
      <alignment horizontal="left"/>
    </xf>
    <xf numFmtId="0" fontId="8" fillId="0" borderId="0" xfId="2" applyFont="1" applyBorder="1" applyAlignment="1">
      <alignment horizontal="center"/>
    </xf>
    <xf numFmtId="0" fontId="2" fillId="0" borderId="0" xfId="2" applyFont="1" applyBorder="1"/>
    <xf numFmtId="38" fontId="8" fillId="0" borderId="2" xfId="3" applyNumberFormat="1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Border="1" applyAlignment="1">
      <alignment horizontal="left"/>
    </xf>
    <xf numFmtId="0" fontId="8" fillId="0" borderId="0" xfId="2" applyFont="1" applyAlignment="1">
      <alignment horizontal="center"/>
    </xf>
    <xf numFmtId="0" fontId="3" fillId="0" borderId="0" xfId="2" applyFont="1"/>
    <xf numFmtId="0" fontId="2" fillId="0" borderId="1" xfId="2" applyFont="1" applyBorder="1" applyAlignment="1">
      <alignment horizontal="center"/>
    </xf>
    <xf numFmtId="0" fontId="2" fillId="0" borderId="1" xfId="4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10" fillId="0" borderId="0" xfId="6" applyFont="1"/>
    <xf numFmtId="0" fontId="2" fillId="0" borderId="1" xfId="2" applyFont="1" applyBorder="1"/>
    <xf numFmtId="0" fontId="3" fillId="0" borderId="0" xfId="5" applyFont="1"/>
    <xf numFmtId="167" fontId="7" fillId="2" borderId="1" xfId="2" applyNumberFormat="1" applyFont="1" applyFill="1" applyBorder="1"/>
    <xf numFmtId="166" fontId="7" fillId="2" borderId="1" xfId="2" applyNumberFormat="1" applyFont="1" applyFill="1" applyBorder="1" applyAlignment="1">
      <alignment horizontal="center"/>
    </xf>
    <xf numFmtId="1" fontId="7" fillId="0" borderId="3" xfId="5" applyNumberFormat="1" applyFont="1" applyBorder="1"/>
    <xf numFmtId="168" fontId="7" fillId="2" borderId="4" xfId="2" applyNumberFormat="1" applyFont="1" applyFill="1" applyBorder="1" applyAlignment="1">
      <alignment horizontal="center"/>
    </xf>
    <xf numFmtId="43" fontId="7" fillId="2" borderId="4" xfId="2" applyNumberFormat="1" applyFont="1" applyFill="1" applyBorder="1"/>
    <xf numFmtId="1" fontId="7" fillId="0" borderId="5" xfId="5" applyNumberFormat="1" applyFont="1" applyBorder="1"/>
    <xf numFmtId="168" fontId="7" fillId="2" borderId="0" xfId="2" applyNumberFormat="1" applyFont="1" applyFill="1" applyBorder="1" applyAlignment="1">
      <alignment horizontal="center"/>
    </xf>
    <xf numFmtId="43" fontId="7" fillId="2" borderId="0" xfId="2" applyNumberFormat="1" applyFont="1" applyFill="1" applyBorder="1"/>
    <xf numFmtId="1" fontId="7" fillId="0" borderId="6" xfId="5" applyNumberFormat="1" applyFont="1" applyBorder="1"/>
    <xf numFmtId="168" fontId="7" fillId="2" borderId="7" xfId="2" applyNumberFormat="1" applyFont="1" applyFill="1" applyBorder="1" applyAlignment="1">
      <alignment horizontal="center"/>
    </xf>
    <xf numFmtId="43" fontId="7" fillId="2" borderId="7" xfId="2" applyNumberFormat="1" applyFont="1" applyFill="1" applyBorder="1"/>
    <xf numFmtId="1" fontId="7" fillId="0" borderId="8" xfId="5" applyNumberFormat="1" applyFont="1" applyBorder="1"/>
    <xf numFmtId="1" fontId="7" fillId="0" borderId="9" xfId="5" applyNumberFormat="1" applyFont="1" applyBorder="1"/>
    <xf numFmtId="1" fontId="7" fillId="0" borderId="10" xfId="5" applyNumberFormat="1" applyFont="1" applyBorder="1"/>
    <xf numFmtId="0" fontId="7" fillId="0" borderId="8" xfId="2" applyFont="1" applyBorder="1" applyAlignment="1">
      <alignment horizontal="center"/>
    </xf>
    <xf numFmtId="0" fontId="7" fillId="0" borderId="9" xfId="2" applyFont="1" applyBorder="1" applyAlignment="1">
      <alignment horizontal="center"/>
    </xf>
    <xf numFmtId="0" fontId="7" fillId="0" borderId="10" xfId="2" applyFont="1" applyBorder="1" applyAlignment="1">
      <alignment horizontal="center"/>
    </xf>
    <xf numFmtId="43" fontId="7" fillId="2" borderId="8" xfId="2" applyNumberFormat="1" applyFont="1" applyFill="1" applyBorder="1" applyAlignment="1">
      <alignment horizontal="center"/>
    </xf>
    <xf numFmtId="43" fontId="7" fillId="2" borderId="9" xfId="2" applyNumberFormat="1" applyFont="1" applyFill="1" applyBorder="1" applyAlignment="1">
      <alignment horizontal="center"/>
    </xf>
    <xf numFmtId="43" fontId="7" fillId="2" borderId="10" xfId="2" applyNumberFormat="1" applyFont="1" applyFill="1" applyBorder="1" applyAlignment="1">
      <alignment horizontal="center"/>
    </xf>
    <xf numFmtId="165" fontId="7" fillId="2" borderId="8" xfId="2" applyNumberFormat="1" applyFont="1" applyFill="1" applyBorder="1"/>
    <xf numFmtId="165" fontId="7" fillId="2" borderId="9" xfId="2" applyNumberFormat="1" applyFont="1" applyFill="1" applyBorder="1"/>
    <xf numFmtId="165" fontId="7" fillId="2" borderId="10" xfId="2" applyNumberFormat="1" applyFont="1" applyFill="1" applyBorder="1"/>
    <xf numFmtId="10" fontId="7" fillId="2" borderId="8" xfId="7" applyNumberFormat="1" applyFont="1" applyFill="1" applyBorder="1"/>
    <xf numFmtId="10" fontId="7" fillId="2" borderId="9" xfId="7" applyNumberFormat="1" applyFont="1" applyFill="1" applyBorder="1"/>
    <xf numFmtId="10" fontId="7" fillId="2" borderId="10" xfId="7" applyNumberFormat="1" applyFont="1" applyFill="1" applyBorder="1"/>
    <xf numFmtId="0" fontId="2" fillId="0" borderId="0" xfId="2" applyFont="1"/>
    <xf numFmtId="0" fontId="8" fillId="0" borderId="2" xfId="3" applyNumberFormat="1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0" xfId="2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6" fillId="0" borderId="0" xfId="2" applyFont="1" applyAlignment="1">
      <alignment horizontal="center"/>
    </xf>
    <xf numFmtId="0" fontId="3" fillId="0" borderId="0" xfId="2" applyFont="1" applyAlignment="1">
      <alignment wrapText="1"/>
    </xf>
  </cellXfs>
  <cellStyles count="8">
    <cellStyle name="Euro" xfId="1" xr:uid="{00000000-0005-0000-0000-000000000000}"/>
    <cellStyle name="Milliers_EC1" xfId="3" xr:uid="{00000000-0005-0000-0000-000001000000}"/>
    <cellStyle name="Normal" xfId="0" builtinId="0"/>
    <cellStyle name="Normal 2" xfId="5" xr:uid="{00000000-0005-0000-0000-000003000000}"/>
    <cellStyle name="Normal_EC1" xfId="6" xr:uid="{00000000-0005-0000-0000-000004000000}"/>
    <cellStyle name="Normal_EXA9594" xfId="4" xr:uid="{00000000-0005-0000-0000-000005000000}"/>
    <cellStyle name="Normal_Examen excel EC1 1296 2" xfId="2" xr:uid="{00000000-0005-0000-0000-000006000000}"/>
    <cellStyle name="Pourcentage" xfId="7" builtinId="5"/>
  </cellStyles>
  <dxfs count="2">
    <dxf>
      <font>
        <color rgb="FF0070C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2:J77"/>
  <sheetViews>
    <sheetView showGridLines="0" tabSelected="1" workbookViewId="0">
      <selection activeCell="A4" sqref="A4"/>
    </sheetView>
  </sheetViews>
  <sheetFormatPr baseColWidth="10" defaultRowHeight="14.25" x14ac:dyDescent="0.2"/>
  <cols>
    <col min="1" max="1" width="26.140625" style="1" customWidth="1"/>
    <col min="2" max="2" width="15.140625" style="1" customWidth="1"/>
    <col min="3" max="3" width="13.140625" style="1" customWidth="1"/>
    <col min="4" max="4" width="10.5703125" style="1" customWidth="1"/>
    <col min="5" max="5" width="8.42578125" style="1" customWidth="1"/>
    <col min="6" max="6" width="14.5703125" style="1" customWidth="1"/>
    <col min="7" max="7" width="14.85546875" style="1" customWidth="1"/>
    <col min="8" max="9" width="11.42578125" style="1"/>
    <col min="10" max="10" width="17.85546875" style="1" bestFit="1" customWidth="1"/>
    <col min="11" max="256" width="11.42578125" style="1"/>
    <col min="257" max="257" width="5" style="1" customWidth="1"/>
    <col min="258" max="258" width="23.28515625" style="1" customWidth="1"/>
    <col min="259" max="259" width="13.5703125" style="1" customWidth="1"/>
    <col min="260" max="260" width="13.140625" style="1" customWidth="1"/>
    <col min="261" max="261" width="10.5703125" style="1" customWidth="1"/>
    <col min="262" max="262" width="8.42578125" style="1" customWidth="1"/>
    <col min="263" max="263" width="14.5703125" style="1" customWidth="1"/>
    <col min="264" max="264" width="14.85546875" style="1" customWidth="1"/>
    <col min="265" max="512" width="11.42578125" style="1"/>
    <col min="513" max="513" width="5" style="1" customWidth="1"/>
    <col min="514" max="514" width="23.28515625" style="1" customWidth="1"/>
    <col min="515" max="515" width="13.5703125" style="1" customWidth="1"/>
    <col min="516" max="516" width="13.140625" style="1" customWidth="1"/>
    <col min="517" max="517" width="10.5703125" style="1" customWidth="1"/>
    <col min="518" max="518" width="8.42578125" style="1" customWidth="1"/>
    <col min="519" max="519" width="14.5703125" style="1" customWidth="1"/>
    <col min="520" max="520" width="14.85546875" style="1" customWidth="1"/>
    <col min="521" max="768" width="11.42578125" style="1"/>
    <col min="769" max="769" width="5" style="1" customWidth="1"/>
    <col min="770" max="770" width="23.28515625" style="1" customWidth="1"/>
    <col min="771" max="771" width="13.5703125" style="1" customWidth="1"/>
    <col min="772" max="772" width="13.140625" style="1" customWidth="1"/>
    <col min="773" max="773" width="10.5703125" style="1" customWidth="1"/>
    <col min="774" max="774" width="8.42578125" style="1" customWidth="1"/>
    <col min="775" max="775" width="14.5703125" style="1" customWidth="1"/>
    <col min="776" max="776" width="14.85546875" style="1" customWidth="1"/>
    <col min="777" max="1024" width="11.42578125" style="1"/>
    <col min="1025" max="1025" width="5" style="1" customWidth="1"/>
    <col min="1026" max="1026" width="23.28515625" style="1" customWidth="1"/>
    <col min="1027" max="1027" width="13.5703125" style="1" customWidth="1"/>
    <col min="1028" max="1028" width="13.140625" style="1" customWidth="1"/>
    <col min="1029" max="1029" width="10.5703125" style="1" customWidth="1"/>
    <col min="1030" max="1030" width="8.42578125" style="1" customWidth="1"/>
    <col min="1031" max="1031" width="14.5703125" style="1" customWidth="1"/>
    <col min="1032" max="1032" width="14.85546875" style="1" customWidth="1"/>
    <col min="1033" max="1280" width="11.42578125" style="1"/>
    <col min="1281" max="1281" width="5" style="1" customWidth="1"/>
    <col min="1282" max="1282" width="23.28515625" style="1" customWidth="1"/>
    <col min="1283" max="1283" width="13.5703125" style="1" customWidth="1"/>
    <col min="1284" max="1284" width="13.140625" style="1" customWidth="1"/>
    <col min="1285" max="1285" width="10.5703125" style="1" customWidth="1"/>
    <col min="1286" max="1286" width="8.42578125" style="1" customWidth="1"/>
    <col min="1287" max="1287" width="14.5703125" style="1" customWidth="1"/>
    <col min="1288" max="1288" width="14.85546875" style="1" customWidth="1"/>
    <col min="1289" max="1536" width="11.42578125" style="1"/>
    <col min="1537" max="1537" width="5" style="1" customWidth="1"/>
    <col min="1538" max="1538" width="23.28515625" style="1" customWidth="1"/>
    <col min="1539" max="1539" width="13.5703125" style="1" customWidth="1"/>
    <col min="1540" max="1540" width="13.140625" style="1" customWidth="1"/>
    <col min="1541" max="1541" width="10.5703125" style="1" customWidth="1"/>
    <col min="1542" max="1542" width="8.42578125" style="1" customWidth="1"/>
    <col min="1543" max="1543" width="14.5703125" style="1" customWidth="1"/>
    <col min="1544" max="1544" width="14.85546875" style="1" customWidth="1"/>
    <col min="1545" max="1792" width="11.42578125" style="1"/>
    <col min="1793" max="1793" width="5" style="1" customWidth="1"/>
    <col min="1794" max="1794" width="23.28515625" style="1" customWidth="1"/>
    <col min="1795" max="1795" width="13.5703125" style="1" customWidth="1"/>
    <col min="1796" max="1796" width="13.140625" style="1" customWidth="1"/>
    <col min="1797" max="1797" width="10.5703125" style="1" customWidth="1"/>
    <col min="1798" max="1798" width="8.42578125" style="1" customWidth="1"/>
    <col min="1799" max="1799" width="14.5703125" style="1" customWidth="1"/>
    <col min="1800" max="1800" width="14.85546875" style="1" customWidth="1"/>
    <col min="1801" max="2048" width="11.42578125" style="1"/>
    <col min="2049" max="2049" width="5" style="1" customWidth="1"/>
    <col min="2050" max="2050" width="23.28515625" style="1" customWidth="1"/>
    <col min="2051" max="2051" width="13.5703125" style="1" customWidth="1"/>
    <col min="2052" max="2052" width="13.140625" style="1" customWidth="1"/>
    <col min="2053" max="2053" width="10.5703125" style="1" customWidth="1"/>
    <col min="2054" max="2054" width="8.42578125" style="1" customWidth="1"/>
    <col min="2055" max="2055" width="14.5703125" style="1" customWidth="1"/>
    <col min="2056" max="2056" width="14.85546875" style="1" customWidth="1"/>
    <col min="2057" max="2304" width="11.42578125" style="1"/>
    <col min="2305" max="2305" width="5" style="1" customWidth="1"/>
    <col min="2306" max="2306" width="23.28515625" style="1" customWidth="1"/>
    <col min="2307" max="2307" width="13.5703125" style="1" customWidth="1"/>
    <col min="2308" max="2308" width="13.140625" style="1" customWidth="1"/>
    <col min="2309" max="2309" width="10.5703125" style="1" customWidth="1"/>
    <col min="2310" max="2310" width="8.42578125" style="1" customWidth="1"/>
    <col min="2311" max="2311" width="14.5703125" style="1" customWidth="1"/>
    <col min="2312" max="2312" width="14.85546875" style="1" customWidth="1"/>
    <col min="2313" max="2560" width="11.42578125" style="1"/>
    <col min="2561" max="2561" width="5" style="1" customWidth="1"/>
    <col min="2562" max="2562" width="23.28515625" style="1" customWidth="1"/>
    <col min="2563" max="2563" width="13.5703125" style="1" customWidth="1"/>
    <col min="2564" max="2564" width="13.140625" style="1" customWidth="1"/>
    <col min="2565" max="2565" width="10.5703125" style="1" customWidth="1"/>
    <col min="2566" max="2566" width="8.42578125" style="1" customWidth="1"/>
    <col min="2567" max="2567" width="14.5703125" style="1" customWidth="1"/>
    <col min="2568" max="2568" width="14.85546875" style="1" customWidth="1"/>
    <col min="2569" max="2816" width="11.42578125" style="1"/>
    <col min="2817" max="2817" width="5" style="1" customWidth="1"/>
    <col min="2818" max="2818" width="23.28515625" style="1" customWidth="1"/>
    <col min="2819" max="2819" width="13.5703125" style="1" customWidth="1"/>
    <col min="2820" max="2820" width="13.140625" style="1" customWidth="1"/>
    <col min="2821" max="2821" width="10.5703125" style="1" customWidth="1"/>
    <col min="2822" max="2822" width="8.42578125" style="1" customWidth="1"/>
    <col min="2823" max="2823" width="14.5703125" style="1" customWidth="1"/>
    <col min="2824" max="2824" width="14.85546875" style="1" customWidth="1"/>
    <col min="2825" max="3072" width="11.42578125" style="1"/>
    <col min="3073" max="3073" width="5" style="1" customWidth="1"/>
    <col min="3074" max="3074" width="23.28515625" style="1" customWidth="1"/>
    <col min="3075" max="3075" width="13.5703125" style="1" customWidth="1"/>
    <col min="3076" max="3076" width="13.140625" style="1" customWidth="1"/>
    <col min="3077" max="3077" width="10.5703125" style="1" customWidth="1"/>
    <col min="3078" max="3078" width="8.42578125" style="1" customWidth="1"/>
    <col min="3079" max="3079" width="14.5703125" style="1" customWidth="1"/>
    <col min="3080" max="3080" width="14.85546875" style="1" customWidth="1"/>
    <col min="3081" max="3328" width="11.42578125" style="1"/>
    <col min="3329" max="3329" width="5" style="1" customWidth="1"/>
    <col min="3330" max="3330" width="23.28515625" style="1" customWidth="1"/>
    <col min="3331" max="3331" width="13.5703125" style="1" customWidth="1"/>
    <col min="3332" max="3332" width="13.140625" style="1" customWidth="1"/>
    <col min="3333" max="3333" width="10.5703125" style="1" customWidth="1"/>
    <col min="3334" max="3334" width="8.42578125" style="1" customWidth="1"/>
    <col min="3335" max="3335" width="14.5703125" style="1" customWidth="1"/>
    <col min="3336" max="3336" width="14.85546875" style="1" customWidth="1"/>
    <col min="3337" max="3584" width="11.42578125" style="1"/>
    <col min="3585" max="3585" width="5" style="1" customWidth="1"/>
    <col min="3586" max="3586" width="23.28515625" style="1" customWidth="1"/>
    <col min="3587" max="3587" width="13.5703125" style="1" customWidth="1"/>
    <col min="3588" max="3588" width="13.140625" style="1" customWidth="1"/>
    <col min="3589" max="3589" width="10.5703125" style="1" customWidth="1"/>
    <col min="3590" max="3590" width="8.42578125" style="1" customWidth="1"/>
    <col min="3591" max="3591" width="14.5703125" style="1" customWidth="1"/>
    <col min="3592" max="3592" width="14.85546875" style="1" customWidth="1"/>
    <col min="3593" max="3840" width="11.42578125" style="1"/>
    <col min="3841" max="3841" width="5" style="1" customWidth="1"/>
    <col min="3842" max="3842" width="23.28515625" style="1" customWidth="1"/>
    <col min="3843" max="3843" width="13.5703125" style="1" customWidth="1"/>
    <col min="3844" max="3844" width="13.140625" style="1" customWidth="1"/>
    <col min="3845" max="3845" width="10.5703125" style="1" customWidth="1"/>
    <col min="3846" max="3846" width="8.42578125" style="1" customWidth="1"/>
    <col min="3847" max="3847" width="14.5703125" style="1" customWidth="1"/>
    <col min="3848" max="3848" width="14.85546875" style="1" customWidth="1"/>
    <col min="3849" max="4096" width="11.42578125" style="1"/>
    <col min="4097" max="4097" width="5" style="1" customWidth="1"/>
    <col min="4098" max="4098" width="23.28515625" style="1" customWidth="1"/>
    <col min="4099" max="4099" width="13.5703125" style="1" customWidth="1"/>
    <col min="4100" max="4100" width="13.140625" style="1" customWidth="1"/>
    <col min="4101" max="4101" width="10.5703125" style="1" customWidth="1"/>
    <col min="4102" max="4102" width="8.42578125" style="1" customWidth="1"/>
    <col min="4103" max="4103" width="14.5703125" style="1" customWidth="1"/>
    <col min="4104" max="4104" width="14.85546875" style="1" customWidth="1"/>
    <col min="4105" max="4352" width="11.42578125" style="1"/>
    <col min="4353" max="4353" width="5" style="1" customWidth="1"/>
    <col min="4354" max="4354" width="23.28515625" style="1" customWidth="1"/>
    <col min="4355" max="4355" width="13.5703125" style="1" customWidth="1"/>
    <col min="4356" max="4356" width="13.140625" style="1" customWidth="1"/>
    <col min="4357" max="4357" width="10.5703125" style="1" customWidth="1"/>
    <col min="4358" max="4358" width="8.42578125" style="1" customWidth="1"/>
    <col min="4359" max="4359" width="14.5703125" style="1" customWidth="1"/>
    <col min="4360" max="4360" width="14.85546875" style="1" customWidth="1"/>
    <col min="4361" max="4608" width="11.42578125" style="1"/>
    <col min="4609" max="4609" width="5" style="1" customWidth="1"/>
    <col min="4610" max="4610" width="23.28515625" style="1" customWidth="1"/>
    <col min="4611" max="4611" width="13.5703125" style="1" customWidth="1"/>
    <col min="4612" max="4612" width="13.140625" style="1" customWidth="1"/>
    <col min="4613" max="4613" width="10.5703125" style="1" customWidth="1"/>
    <col min="4614" max="4614" width="8.42578125" style="1" customWidth="1"/>
    <col min="4615" max="4615" width="14.5703125" style="1" customWidth="1"/>
    <col min="4616" max="4616" width="14.85546875" style="1" customWidth="1"/>
    <col min="4617" max="4864" width="11.42578125" style="1"/>
    <col min="4865" max="4865" width="5" style="1" customWidth="1"/>
    <col min="4866" max="4866" width="23.28515625" style="1" customWidth="1"/>
    <col min="4867" max="4867" width="13.5703125" style="1" customWidth="1"/>
    <col min="4868" max="4868" width="13.140625" style="1" customWidth="1"/>
    <col min="4869" max="4869" width="10.5703125" style="1" customWidth="1"/>
    <col min="4870" max="4870" width="8.42578125" style="1" customWidth="1"/>
    <col min="4871" max="4871" width="14.5703125" style="1" customWidth="1"/>
    <col min="4872" max="4872" width="14.85546875" style="1" customWidth="1"/>
    <col min="4873" max="5120" width="11.42578125" style="1"/>
    <col min="5121" max="5121" width="5" style="1" customWidth="1"/>
    <col min="5122" max="5122" width="23.28515625" style="1" customWidth="1"/>
    <col min="5123" max="5123" width="13.5703125" style="1" customWidth="1"/>
    <col min="5124" max="5124" width="13.140625" style="1" customWidth="1"/>
    <col min="5125" max="5125" width="10.5703125" style="1" customWidth="1"/>
    <col min="5126" max="5126" width="8.42578125" style="1" customWidth="1"/>
    <col min="5127" max="5127" width="14.5703125" style="1" customWidth="1"/>
    <col min="5128" max="5128" width="14.85546875" style="1" customWidth="1"/>
    <col min="5129" max="5376" width="11.42578125" style="1"/>
    <col min="5377" max="5377" width="5" style="1" customWidth="1"/>
    <col min="5378" max="5378" width="23.28515625" style="1" customWidth="1"/>
    <col min="5379" max="5379" width="13.5703125" style="1" customWidth="1"/>
    <col min="5380" max="5380" width="13.140625" style="1" customWidth="1"/>
    <col min="5381" max="5381" width="10.5703125" style="1" customWidth="1"/>
    <col min="5382" max="5382" width="8.42578125" style="1" customWidth="1"/>
    <col min="5383" max="5383" width="14.5703125" style="1" customWidth="1"/>
    <col min="5384" max="5384" width="14.85546875" style="1" customWidth="1"/>
    <col min="5385" max="5632" width="11.42578125" style="1"/>
    <col min="5633" max="5633" width="5" style="1" customWidth="1"/>
    <col min="5634" max="5634" width="23.28515625" style="1" customWidth="1"/>
    <col min="5635" max="5635" width="13.5703125" style="1" customWidth="1"/>
    <col min="5636" max="5636" width="13.140625" style="1" customWidth="1"/>
    <col min="5637" max="5637" width="10.5703125" style="1" customWidth="1"/>
    <col min="5638" max="5638" width="8.42578125" style="1" customWidth="1"/>
    <col min="5639" max="5639" width="14.5703125" style="1" customWidth="1"/>
    <col min="5640" max="5640" width="14.85546875" style="1" customWidth="1"/>
    <col min="5641" max="5888" width="11.42578125" style="1"/>
    <col min="5889" max="5889" width="5" style="1" customWidth="1"/>
    <col min="5890" max="5890" width="23.28515625" style="1" customWidth="1"/>
    <col min="5891" max="5891" width="13.5703125" style="1" customWidth="1"/>
    <col min="5892" max="5892" width="13.140625" style="1" customWidth="1"/>
    <col min="5893" max="5893" width="10.5703125" style="1" customWidth="1"/>
    <col min="5894" max="5894" width="8.42578125" style="1" customWidth="1"/>
    <col min="5895" max="5895" width="14.5703125" style="1" customWidth="1"/>
    <col min="5896" max="5896" width="14.85546875" style="1" customWidth="1"/>
    <col min="5897" max="6144" width="11.42578125" style="1"/>
    <col min="6145" max="6145" width="5" style="1" customWidth="1"/>
    <col min="6146" max="6146" width="23.28515625" style="1" customWidth="1"/>
    <col min="6147" max="6147" width="13.5703125" style="1" customWidth="1"/>
    <col min="6148" max="6148" width="13.140625" style="1" customWidth="1"/>
    <col min="6149" max="6149" width="10.5703125" style="1" customWidth="1"/>
    <col min="6150" max="6150" width="8.42578125" style="1" customWidth="1"/>
    <col min="6151" max="6151" width="14.5703125" style="1" customWidth="1"/>
    <col min="6152" max="6152" width="14.85546875" style="1" customWidth="1"/>
    <col min="6153" max="6400" width="11.42578125" style="1"/>
    <col min="6401" max="6401" width="5" style="1" customWidth="1"/>
    <col min="6402" max="6402" width="23.28515625" style="1" customWidth="1"/>
    <col min="6403" max="6403" width="13.5703125" style="1" customWidth="1"/>
    <col min="6404" max="6404" width="13.140625" style="1" customWidth="1"/>
    <col min="6405" max="6405" width="10.5703125" style="1" customWidth="1"/>
    <col min="6406" max="6406" width="8.42578125" style="1" customWidth="1"/>
    <col min="6407" max="6407" width="14.5703125" style="1" customWidth="1"/>
    <col min="6408" max="6408" width="14.85546875" style="1" customWidth="1"/>
    <col min="6409" max="6656" width="11.42578125" style="1"/>
    <col min="6657" max="6657" width="5" style="1" customWidth="1"/>
    <col min="6658" max="6658" width="23.28515625" style="1" customWidth="1"/>
    <col min="6659" max="6659" width="13.5703125" style="1" customWidth="1"/>
    <col min="6660" max="6660" width="13.140625" style="1" customWidth="1"/>
    <col min="6661" max="6661" width="10.5703125" style="1" customWidth="1"/>
    <col min="6662" max="6662" width="8.42578125" style="1" customWidth="1"/>
    <col min="6663" max="6663" width="14.5703125" style="1" customWidth="1"/>
    <col min="6664" max="6664" width="14.85546875" style="1" customWidth="1"/>
    <col min="6665" max="6912" width="11.42578125" style="1"/>
    <col min="6913" max="6913" width="5" style="1" customWidth="1"/>
    <col min="6914" max="6914" width="23.28515625" style="1" customWidth="1"/>
    <col min="6915" max="6915" width="13.5703125" style="1" customWidth="1"/>
    <col min="6916" max="6916" width="13.140625" style="1" customWidth="1"/>
    <col min="6917" max="6917" width="10.5703125" style="1" customWidth="1"/>
    <col min="6918" max="6918" width="8.42578125" style="1" customWidth="1"/>
    <col min="6919" max="6919" width="14.5703125" style="1" customWidth="1"/>
    <col min="6920" max="6920" width="14.85546875" style="1" customWidth="1"/>
    <col min="6921" max="7168" width="11.42578125" style="1"/>
    <col min="7169" max="7169" width="5" style="1" customWidth="1"/>
    <col min="7170" max="7170" width="23.28515625" style="1" customWidth="1"/>
    <col min="7171" max="7171" width="13.5703125" style="1" customWidth="1"/>
    <col min="7172" max="7172" width="13.140625" style="1" customWidth="1"/>
    <col min="7173" max="7173" width="10.5703125" style="1" customWidth="1"/>
    <col min="7174" max="7174" width="8.42578125" style="1" customWidth="1"/>
    <col min="7175" max="7175" width="14.5703125" style="1" customWidth="1"/>
    <col min="7176" max="7176" width="14.85546875" style="1" customWidth="1"/>
    <col min="7177" max="7424" width="11.42578125" style="1"/>
    <col min="7425" max="7425" width="5" style="1" customWidth="1"/>
    <col min="7426" max="7426" width="23.28515625" style="1" customWidth="1"/>
    <col min="7427" max="7427" width="13.5703125" style="1" customWidth="1"/>
    <col min="7428" max="7428" width="13.140625" style="1" customWidth="1"/>
    <col min="7429" max="7429" width="10.5703125" style="1" customWidth="1"/>
    <col min="7430" max="7430" width="8.42578125" style="1" customWidth="1"/>
    <col min="7431" max="7431" width="14.5703125" style="1" customWidth="1"/>
    <col min="7432" max="7432" width="14.85546875" style="1" customWidth="1"/>
    <col min="7433" max="7680" width="11.42578125" style="1"/>
    <col min="7681" max="7681" width="5" style="1" customWidth="1"/>
    <col min="7682" max="7682" width="23.28515625" style="1" customWidth="1"/>
    <col min="7683" max="7683" width="13.5703125" style="1" customWidth="1"/>
    <col min="7684" max="7684" width="13.140625" style="1" customWidth="1"/>
    <col min="7685" max="7685" width="10.5703125" style="1" customWidth="1"/>
    <col min="7686" max="7686" width="8.42578125" style="1" customWidth="1"/>
    <col min="7687" max="7687" width="14.5703125" style="1" customWidth="1"/>
    <col min="7688" max="7688" width="14.85546875" style="1" customWidth="1"/>
    <col min="7689" max="7936" width="11.42578125" style="1"/>
    <col min="7937" max="7937" width="5" style="1" customWidth="1"/>
    <col min="7938" max="7938" width="23.28515625" style="1" customWidth="1"/>
    <col min="7939" max="7939" width="13.5703125" style="1" customWidth="1"/>
    <col min="7940" max="7940" width="13.140625" style="1" customWidth="1"/>
    <col min="7941" max="7941" width="10.5703125" style="1" customWidth="1"/>
    <col min="7942" max="7942" width="8.42578125" style="1" customWidth="1"/>
    <col min="7943" max="7943" width="14.5703125" style="1" customWidth="1"/>
    <col min="7944" max="7944" width="14.85546875" style="1" customWidth="1"/>
    <col min="7945" max="8192" width="11.42578125" style="1"/>
    <col min="8193" max="8193" width="5" style="1" customWidth="1"/>
    <col min="8194" max="8194" width="23.28515625" style="1" customWidth="1"/>
    <col min="8195" max="8195" width="13.5703125" style="1" customWidth="1"/>
    <col min="8196" max="8196" width="13.140625" style="1" customWidth="1"/>
    <col min="8197" max="8197" width="10.5703125" style="1" customWidth="1"/>
    <col min="8198" max="8198" width="8.42578125" style="1" customWidth="1"/>
    <col min="8199" max="8199" width="14.5703125" style="1" customWidth="1"/>
    <col min="8200" max="8200" width="14.85546875" style="1" customWidth="1"/>
    <col min="8201" max="8448" width="11.42578125" style="1"/>
    <col min="8449" max="8449" width="5" style="1" customWidth="1"/>
    <col min="8450" max="8450" width="23.28515625" style="1" customWidth="1"/>
    <col min="8451" max="8451" width="13.5703125" style="1" customWidth="1"/>
    <col min="8452" max="8452" width="13.140625" style="1" customWidth="1"/>
    <col min="8453" max="8453" width="10.5703125" style="1" customWidth="1"/>
    <col min="8454" max="8454" width="8.42578125" style="1" customWidth="1"/>
    <col min="8455" max="8455" width="14.5703125" style="1" customWidth="1"/>
    <col min="8456" max="8456" width="14.85546875" style="1" customWidth="1"/>
    <col min="8457" max="8704" width="11.42578125" style="1"/>
    <col min="8705" max="8705" width="5" style="1" customWidth="1"/>
    <col min="8706" max="8706" width="23.28515625" style="1" customWidth="1"/>
    <col min="8707" max="8707" width="13.5703125" style="1" customWidth="1"/>
    <col min="8708" max="8708" width="13.140625" style="1" customWidth="1"/>
    <col min="8709" max="8709" width="10.5703125" style="1" customWidth="1"/>
    <col min="8710" max="8710" width="8.42578125" style="1" customWidth="1"/>
    <col min="8711" max="8711" width="14.5703125" style="1" customWidth="1"/>
    <col min="8712" max="8712" width="14.85546875" style="1" customWidth="1"/>
    <col min="8713" max="8960" width="11.42578125" style="1"/>
    <col min="8961" max="8961" width="5" style="1" customWidth="1"/>
    <col min="8962" max="8962" width="23.28515625" style="1" customWidth="1"/>
    <col min="8963" max="8963" width="13.5703125" style="1" customWidth="1"/>
    <col min="8964" max="8964" width="13.140625" style="1" customWidth="1"/>
    <col min="8965" max="8965" width="10.5703125" style="1" customWidth="1"/>
    <col min="8966" max="8966" width="8.42578125" style="1" customWidth="1"/>
    <col min="8967" max="8967" width="14.5703125" style="1" customWidth="1"/>
    <col min="8968" max="8968" width="14.85546875" style="1" customWidth="1"/>
    <col min="8969" max="9216" width="11.42578125" style="1"/>
    <col min="9217" max="9217" width="5" style="1" customWidth="1"/>
    <col min="9218" max="9218" width="23.28515625" style="1" customWidth="1"/>
    <col min="9219" max="9219" width="13.5703125" style="1" customWidth="1"/>
    <col min="9220" max="9220" width="13.140625" style="1" customWidth="1"/>
    <col min="9221" max="9221" width="10.5703125" style="1" customWidth="1"/>
    <col min="9222" max="9222" width="8.42578125" style="1" customWidth="1"/>
    <col min="9223" max="9223" width="14.5703125" style="1" customWidth="1"/>
    <col min="9224" max="9224" width="14.85546875" style="1" customWidth="1"/>
    <col min="9225" max="9472" width="11.42578125" style="1"/>
    <col min="9473" max="9473" width="5" style="1" customWidth="1"/>
    <col min="9474" max="9474" width="23.28515625" style="1" customWidth="1"/>
    <col min="9475" max="9475" width="13.5703125" style="1" customWidth="1"/>
    <col min="9476" max="9476" width="13.140625" style="1" customWidth="1"/>
    <col min="9477" max="9477" width="10.5703125" style="1" customWidth="1"/>
    <col min="9478" max="9478" width="8.42578125" style="1" customWidth="1"/>
    <col min="9479" max="9479" width="14.5703125" style="1" customWidth="1"/>
    <col min="9480" max="9480" width="14.85546875" style="1" customWidth="1"/>
    <col min="9481" max="9728" width="11.42578125" style="1"/>
    <col min="9729" max="9729" width="5" style="1" customWidth="1"/>
    <col min="9730" max="9730" width="23.28515625" style="1" customWidth="1"/>
    <col min="9731" max="9731" width="13.5703125" style="1" customWidth="1"/>
    <col min="9732" max="9732" width="13.140625" style="1" customWidth="1"/>
    <col min="9733" max="9733" width="10.5703125" style="1" customWidth="1"/>
    <col min="9734" max="9734" width="8.42578125" style="1" customWidth="1"/>
    <col min="9735" max="9735" width="14.5703125" style="1" customWidth="1"/>
    <col min="9736" max="9736" width="14.85546875" style="1" customWidth="1"/>
    <col min="9737" max="9984" width="11.42578125" style="1"/>
    <col min="9985" max="9985" width="5" style="1" customWidth="1"/>
    <col min="9986" max="9986" width="23.28515625" style="1" customWidth="1"/>
    <col min="9987" max="9987" width="13.5703125" style="1" customWidth="1"/>
    <col min="9988" max="9988" width="13.140625" style="1" customWidth="1"/>
    <col min="9989" max="9989" width="10.5703125" style="1" customWidth="1"/>
    <col min="9990" max="9990" width="8.42578125" style="1" customWidth="1"/>
    <col min="9991" max="9991" width="14.5703125" style="1" customWidth="1"/>
    <col min="9992" max="9992" width="14.85546875" style="1" customWidth="1"/>
    <col min="9993" max="10240" width="11.42578125" style="1"/>
    <col min="10241" max="10241" width="5" style="1" customWidth="1"/>
    <col min="10242" max="10242" width="23.28515625" style="1" customWidth="1"/>
    <col min="10243" max="10243" width="13.5703125" style="1" customWidth="1"/>
    <col min="10244" max="10244" width="13.140625" style="1" customWidth="1"/>
    <col min="10245" max="10245" width="10.5703125" style="1" customWidth="1"/>
    <col min="10246" max="10246" width="8.42578125" style="1" customWidth="1"/>
    <col min="10247" max="10247" width="14.5703125" style="1" customWidth="1"/>
    <col min="10248" max="10248" width="14.85546875" style="1" customWidth="1"/>
    <col min="10249" max="10496" width="11.42578125" style="1"/>
    <col min="10497" max="10497" width="5" style="1" customWidth="1"/>
    <col min="10498" max="10498" width="23.28515625" style="1" customWidth="1"/>
    <col min="10499" max="10499" width="13.5703125" style="1" customWidth="1"/>
    <col min="10500" max="10500" width="13.140625" style="1" customWidth="1"/>
    <col min="10501" max="10501" width="10.5703125" style="1" customWidth="1"/>
    <col min="10502" max="10502" width="8.42578125" style="1" customWidth="1"/>
    <col min="10503" max="10503" width="14.5703125" style="1" customWidth="1"/>
    <col min="10504" max="10504" width="14.85546875" style="1" customWidth="1"/>
    <col min="10505" max="10752" width="11.42578125" style="1"/>
    <col min="10753" max="10753" width="5" style="1" customWidth="1"/>
    <col min="10754" max="10754" width="23.28515625" style="1" customWidth="1"/>
    <col min="10755" max="10755" width="13.5703125" style="1" customWidth="1"/>
    <col min="10756" max="10756" width="13.140625" style="1" customWidth="1"/>
    <col min="10757" max="10757" width="10.5703125" style="1" customWidth="1"/>
    <col min="10758" max="10758" width="8.42578125" style="1" customWidth="1"/>
    <col min="10759" max="10759" width="14.5703125" style="1" customWidth="1"/>
    <col min="10760" max="10760" width="14.85546875" style="1" customWidth="1"/>
    <col min="10761" max="11008" width="11.42578125" style="1"/>
    <col min="11009" max="11009" width="5" style="1" customWidth="1"/>
    <col min="11010" max="11010" width="23.28515625" style="1" customWidth="1"/>
    <col min="11011" max="11011" width="13.5703125" style="1" customWidth="1"/>
    <col min="11012" max="11012" width="13.140625" style="1" customWidth="1"/>
    <col min="11013" max="11013" width="10.5703125" style="1" customWidth="1"/>
    <col min="11014" max="11014" width="8.42578125" style="1" customWidth="1"/>
    <col min="11015" max="11015" width="14.5703125" style="1" customWidth="1"/>
    <col min="11016" max="11016" width="14.85546875" style="1" customWidth="1"/>
    <col min="11017" max="11264" width="11.42578125" style="1"/>
    <col min="11265" max="11265" width="5" style="1" customWidth="1"/>
    <col min="11266" max="11266" width="23.28515625" style="1" customWidth="1"/>
    <col min="11267" max="11267" width="13.5703125" style="1" customWidth="1"/>
    <col min="11268" max="11268" width="13.140625" style="1" customWidth="1"/>
    <col min="11269" max="11269" width="10.5703125" style="1" customWidth="1"/>
    <col min="11270" max="11270" width="8.42578125" style="1" customWidth="1"/>
    <col min="11271" max="11271" width="14.5703125" style="1" customWidth="1"/>
    <col min="11272" max="11272" width="14.85546875" style="1" customWidth="1"/>
    <col min="11273" max="11520" width="11.42578125" style="1"/>
    <col min="11521" max="11521" width="5" style="1" customWidth="1"/>
    <col min="11522" max="11522" width="23.28515625" style="1" customWidth="1"/>
    <col min="11523" max="11523" width="13.5703125" style="1" customWidth="1"/>
    <col min="11524" max="11524" width="13.140625" style="1" customWidth="1"/>
    <col min="11525" max="11525" width="10.5703125" style="1" customWidth="1"/>
    <col min="11526" max="11526" width="8.42578125" style="1" customWidth="1"/>
    <col min="11527" max="11527" width="14.5703125" style="1" customWidth="1"/>
    <col min="11528" max="11528" width="14.85546875" style="1" customWidth="1"/>
    <col min="11529" max="11776" width="11.42578125" style="1"/>
    <col min="11777" max="11777" width="5" style="1" customWidth="1"/>
    <col min="11778" max="11778" width="23.28515625" style="1" customWidth="1"/>
    <col min="11779" max="11779" width="13.5703125" style="1" customWidth="1"/>
    <col min="11780" max="11780" width="13.140625" style="1" customWidth="1"/>
    <col min="11781" max="11781" width="10.5703125" style="1" customWidth="1"/>
    <col min="11782" max="11782" width="8.42578125" style="1" customWidth="1"/>
    <col min="11783" max="11783" width="14.5703125" style="1" customWidth="1"/>
    <col min="11784" max="11784" width="14.85546875" style="1" customWidth="1"/>
    <col min="11785" max="12032" width="11.42578125" style="1"/>
    <col min="12033" max="12033" width="5" style="1" customWidth="1"/>
    <col min="12034" max="12034" width="23.28515625" style="1" customWidth="1"/>
    <col min="12035" max="12035" width="13.5703125" style="1" customWidth="1"/>
    <col min="12036" max="12036" width="13.140625" style="1" customWidth="1"/>
    <col min="12037" max="12037" width="10.5703125" style="1" customWidth="1"/>
    <col min="12038" max="12038" width="8.42578125" style="1" customWidth="1"/>
    <col min="12039" max="12039" width="14.5703125" style="1" customWidth="1"/>
    <col min="12040" max="12040" width="14.85546875" style="1" customWidth="1"/>
    <col min="12041" max="12288" width="11.42578125" style="1"/>
    <col min="12289" max="12289" width="5" style="1" customWidth="1"/>
    <col min="12290" max="12290" width="23.28515625" style="1" customWidth="1"/>
    <col min="12291" max="12291" width="13.5703125" style="1" customWidth="1"/>
    <col min="12292" max="12292" width="13.140625" style="1" customWidth="1"/>
    <col min="12293" max="12293" width="10.5703125" style="1" customWidth="1"/>
    <col min="12294" max="12294" width="8.42578125" style="1" customWidth="1"/>
    <col min="12295" max="12295" width="14.5703125" style="1" customWidth="1"/>
    <col min="12296" max="12296" width="14.85546875" style="1" customWidth="1"/>
    <col min="12297" max="12544" width="11.42578125" style="1"/>
    <col min="12545" max="12545" width="5" style="1" customWidth="1"/>
    <col min="12546" max="12546" width="23.28515625" style="1" customWidth="1"/>
    <col min="12547" max="12547" width="13.5703125" style="1" customWidth="1"/>
    <col min="12548" max="12548" width="13.140625" style="1" customWidth="1"/>
    <col min="12549" max="12549" width="10.5703125" style="1" customWidth="1"/>
    <col min="12550" max="12550" width="8.42578125" style="1" customWidth="1"/>
    <col min="12551" max="12551" width="14.5703125" style="1" customWidth="1"/>
    <col min="12552" max="12552" width="14.85546875" style="1" customWidth="1"/>
    <col min="12553" max="12800" width="11.42578125" style="1"/>
    <col min="12801" max="12801" width="5" style="1" customWidth="1"/>
    <col min="12802" max="12802" width="23.28515625" style="1" customWidth="1"/>
    <col min="12803" max="12803" width="13.5703125" style="1" customWidth="1"/>
    <col min="12804" max="12804" width="13.140625" style="1" customWidth="1"/>
    <col min="12805" max="12805" width="10.5703125" style="1" customWidth="1"/>
    <col min="12806" max="12806" width="8.42578125" style="1" customWidth="1"/>
    <col min="12807" max="12807" width="14.5703125" style="1" customWidth="1"/>
    <col min="12808" max="12808" width="14.85546875" style="1" customWidth="1"/>
    <col min="12809" max="13056" width="11.42578125" style="1"/>
    <col min="13057" max="13057" width="5" style="1" customWidth="1"/>
    <col min="13058" max="13058" width="23.28515625" style="1" customWidth="1"/>
    <col min="13059" max="13059" width="13.5703125" style="1" customWidth="1"/>
    <col min="13060" max="13060" width="13.140625" style="1" customWidth="1"/>
    <col min="13061" max="13061" width="10.5703125" style="1" customWidth="1"/>
    <col min="13062" max="13062" width="8.42578125" style="1" customWidth="1"/>
    <col min="13063" max="13063" width="14.5703125" style="1" customWidth="1"/>
    <col min="13064" max="13064" width="14.85546875" style="1" customWidth="1"/>
    <col min="13065" max="13312" width="11.42578125" style="1"/>
    <col min="13313" max="13313" width="5" style="1" customWidth="1"/>
    <col min="13314" max="13314" width="23.28515625" style="1" customWidth="1"/>
    <col min="13315" max="13315" width="13.5703125" style="1" customWidth="1"/>
    <col min="13316" max="13316" width="13.140625" style="1" customWidth="1"/>
    <col min="13317" max="13317" width="10.5703125" style="1" customWidth="1"/>
    <col min="13318" max="13318" width="8.42578125" style="1" customWidth="1"/>
    <col min="13319" max="13319" width="14.5703125" style="1" customWidth="1"/>
    <col min="13320" max="13320" width="14.85546875" style="1" customWidth="1"/>
    <col min="13321" max="13568" width="11.42578125" style="1"/>
    <col min="13569" max="13569" width="5" style="1" customWidth="1"/>
    <col min="13570" max="13570" width="23.28515625" style="1" customWidth="1"/>
    <col min="13571" max="13571" width="13.5703125" style="1" customWidth="1"/>
    <col min="13572" max="13572" width="13.140625" style="1" customWidth="1"/>
    <col min="13573" max="13573" width="10.5703125" style="1" customWidth="1"/>
    <col min="13574" max="13574" width="8.42578125" style="1" customWidth="1"/>
    <col min="13575" max="13575" width="14.5703125" style="1" customWidth="1"/>
    <col min="13576" max="13576" width="14.85546875" style="1" customWidth="1"/>
    <col min="13577" max="13824" width="11.42578125" style="1"/>
    <col min="13825" max="13825" width="5" style="1" customWidth="1"/>
    <col min="13826" max="13826" width="23.28515625" style="1" customWidth="1"/>
    <col min="13827" max="13827" width="13.5703125" style="1" customWidth="1"/>
    <col min="13828" max="13828" width="13.140625" style="1" customWidth="1"/>
    <col min="13829" max="13829" width="10.5703125" style="1" customWidth="1"/>
    <col min="13830" max="13830" width="8.42578125" style="1" customWidth="1"/>
    <col min="13831" max="13831" width="14.5703125" style="1" customWidth="1"/>
    <col min="13832" max="13832" width="14.85546875" style="1" customWidth="1"/>
    <col min="13833" max="14080" width="11.42578125" style="1"/>
    <col min="14081" max="14081" width="5" style="1" customWidth="1"/>
    <col min="14082" max="14082" width="23.28515625" style="1" customWidth="1"/>
    <col min="14083" max="14083" width="13.5703125" style="1" customWidth="1"/>
    <col min="14084" max="14084" width="13.140625" style="1" customWidth="1"/>
    <col min="14085" max="14085" width="10.5703125" style="1" customWidth="1"/>
    <col min="14086" max="14086" width="8.42578125" style="1" customWidth="1"/>
    <col min="14087" max="14087" width="14.5703125" style="1" customWidth="1"/>
    <col min="14088" max="14088" width="14.85546875" style="1" customWidth="1"/>
    <col min="14089" max="14336" width="11.42578125" style="1"/>
    <col min="14337" max="14337" width="5" style="1" customWidth="1"/>
    <col min="14338" max="14338" width="23.28515625" style="1" customWidth="1"/>
    <col min="14339" max="14339" width="13.5703125" style="1" customWidth="1"/>
    <col min="14340" max="14340" width="13.140625" style="1" customWidth="1"/>
    <col min="14341" max="14341" width="10.5703125" style="1" customWidth="1"/>
    <col min="14342" max="14342" width="8.42578125" style="1" customWidth="1"/>
    <col min="14343" max="14343" width="14.5703125" style="1" customWidth="1"/>
    <col min="14344" max="14344" width="14.85546875" style="1" customWidth="1"/>
    <col min="14345" max="14592" width="11.42578125" style="1"/>
    <col min="14593" max="14593" width="5" style="1" customWidth="1"/>
    <col min="14594" max="14594" width="23.28515625" style="1" customWidth="1"/>
    <col min="14595" max="14595" width="13.5703125" style="1" customWidth="1"/>
    <col min="14596" max="14596" width="13.140625" style="1" customWidth="1"/>
    <col min="14597" max="14597" width="10.5703125" style="1" customWidth="1"/>
    <col min="14598" max="14598" width="8.42578125" style="1" customWidth="1"/>
    <col min="14599" max="14599" width="14.5703125" style="1" customWidth="1"/>
    <col min="14600" max="14600" width="14.85546875" style="1" customWidth="1"/>
    <col min="14601" max="14848" width="11.42578125" style="1"/>
    <col min="14849" max="14849" width="5" style="1" customWidth="1"/>
    <col min="14850" max="14850" width="23.28515625" style="1" customWidth="1"/>
    <col min="14851" max="14851" width="13.5703125" style="1" customWidth="1"/>
    <col min="14852" max="14852" width="13.140625" style="1" customWidth="1"/>
    <col min="14853" max="14853" width="10.5703125" style="1" customWidth="1"/>
    <col min="14854" max="14854" width="8.42578125" style="1" customWidth="1"/>
    <col min="14855" max="14855" width="14.5703125" style="1" customWidth="1"/>
    <col min="14856" max="14856" width="14.85546875" style="1" customWidth="1"/>
    <col min="14857" max="15104" width="11.42578125" style="1"/>
    <col min="15105" max="15105" width="5" style="1" customWidth="1"/>
    <col min="15106" max="15106" width="23.28515625" style="1" customWidth="1"/>
    <col min="15107" max="15107" width="13.5703125" style="1" customWidth="1"/>
    <col min="15108" max="15108" width="13.140625" style="1" customWidth="1"/>
    <col min="15109" max="15109" width="10.5703125" style="1" customWidth="1"/>
    <col min="15110" max="15110" width="8.42578125" style="1" customWidth="1"/>
    <col min="15111" max="15111" width="14.5703125" style="1" customWidth="1"/>
    <col min="15112" max="15112" width="14.85546875" style="1" customWidth="1"/>
    <col min="15113" max="15360" width="11.42578125" style="1"/>
    <col min="15361" max="15361" width="5" style="1" customWidth="1"/>
    <col min="15362" max="15362" width="23.28515625" style="1" customWidth="1"/>
    <col min="15363" max="15363" width="13.5703125" style="1" customWidth="1"/>
    <col min="15364" max="15364" width="13.140625" style="1" customWidth="1"/>
    <col min="15365" max="15365" width="10.5703125" style="1" customWidth="1"/>
    <col min="15366" max="15366" width="8.42578125" style="1" customWidth="1"/>
    <col min="15367" max="15367" width="14.5703125" style="1" customWidth="1"/>
    <col min="15368" max="15368" width="14.85546875" style="1" customWidth="1"/>
    <col min="15369" max="15616" width="11.42578125" style="1"/>
    <col min="15617" max="15617" width="5" style="1" customWidth="1"/>
    <col min="15618" max="15618" width="23.28515625" style="1" customWidth="1"/>
    <col min="15619" max="15619" width="13.5703125" style="1" customWidth="1"/>
    <col min="15620" max="15620" width="13.140625" style="1" customWidth="1"/>
    <col min="15621" max="15621" width="10.5703125" style="1" customWidth="1"/>
    <col min="15622" max="15622" width="8.42578125" style="1" customWidth="1"/>
    <col min="15623" max="15623" width="14.5703125" style="1" customWidth="1"/>
    <col min="15624" max="15624" width="14.85546875" style="1" customWidth="1"/>
    <col min="15625" max="15872" width="11.42578125" style="1"/>
    <col min="15873" max="15873" width="5" style="1" customWidth="1"/>
    <col min="15874" max="15874" width="23.28515625" style="1" customWidth="1"/>
    <col min="15875" max="15875" width="13.5703125" style="1" customWidth="1"/>
    <col min="15876" max="15876" width="13.140625" style="1" customWidth="1"/>
    <col min="15877" max="15877" width="10.5703125" style="1" customWidth="1"/>
    <col min="15878" max="15878" width="8.42578125" style="1" customWidth="1"/>
    <col min="15879" max="15879" width="14.5703125" style="1" customWidth="1"/>
    <col min="15880" max="15880" width="14.85546875" style="1" customWidth="1"/>
    <col min="15881" max="16128" width="11.42578125" style="1"/>
    <col min="16129" max="16129" width="5" style="1" customWidth="1"/>
    <col min="16130" max="16130" width="23.28515625" style="1" customWidth="1"/>
    <col min="16131" max="16131" width="13.5703125" style="1" customWidth="1"/>
    <col min="16132" max="16132" width="13.140625" style="1" customWidth="1"/>
    <col min="16133" max="16133" width="10.5703125" style="1" customWidth="1"/>
    <col min="16134" max="16134" width="8.42578125" style="1" customWidth="1"/>
    <col min="16135" max="16135" width="14.5703125" style="1" customWidth="1"/>
    <col min="16136" max="16136" width="14.85546875" style="1" customWidth="1"/>
    <col min="16137" max="16384" width="11.42578125" style="1"/>
  </cols>
  <sheetData>
    <row r="2" spans="1:10" ht="27.75" x14ac:dyDescent="0.4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</row>
    <row r="4" spans="1:10" ht="15" thickBot="1" x14ac:dyDescent="0.25"/>
    <row r="5" spans="1:10" ht="21.75" customHeight="1" thickBot="1" x14ac:dyDescent="0.3">
      <c r="A5" s="2" t="s">
        <v>2</v>
      </c>
      <c r="B5" s="43">
        <v>2017</v>
      </c>
      <c r="E5" s="3"/>
    </row>
    <row r="6" spans="1:10" ht="15.75" thickBot="1" x14ac:dyDescent="0.3">
      <c r="A6" s="4" t="s">
        <v>3</v>
      </c>
      <c r="B6" s="5">
        <v>50</v>
      </c>
      <c r="E6" s="3"/>
      <c r="J6" s="6"/>
    </row>
    <row r="7" spans="1:10" ht="15.75" thickBot="1" x14ac:dyDescent="0.3">
      <c r="A7" s="4" t="s">
        <v>4</v>
      </c>
      <c r="B7" s="5">
        <v>300</v>
      </c>
    </row>
    <row r="8" spans="1:10" ht="15.75" thickBot="1" x14ac:dyDescent="0.3">
      <c r="A8" s="7" t="s">
        <v>45</v>
      </c>
      <c r="B8" s="5">
        <v>25</v>
      </c>
    </row>
    <row r="11" spans="1:10" ht="15" x14ac:dyDescent="0.25">
      <c r="A11" s="10" t="s">
        <v>0</v>
      </c>
      <c r="B11" s="11" t="s">
        <v>5</v>
      </c>
      <c r="C11" s="12" t="s">
        <v>6</v>
      </c>
      <c r="D11" s="12" t="s">
        <v>7</v>
      </c>
      <c r="E11" s="10" t="s">
        <v>8</v>
      </c>
      <c r="F11" s="12" t="s">
        <v>9</v>
      </c>
      <c r="G11" s="12" t="s">
        <v>10</v>
      </c>
      <c r="H11" s="10" t="s">
        <v>11</v>
      </c>
      <c r="I11" s="12" t="s">
        <v>12</v>
      </c>
      <c r="J11" s="10" t="s">
        <v>41</v>
      </c>
    </row>
    <row r="12" spans="1:10" x14ac:dyDescent="0.2">
      <c r="A12" s="18" t="s">
        <v>13</v>
      </c>
      <c r="B12" s="27" t="s">
        <v>14</v>
      </c>
      <c r="C12" s="44">
        <v>1993</v>
      </c>
      <c r="D12" s="30" t="s">
        <v>15</v>
      </c>
      <c r="E12" s="19">
        <f t="shared" ref="E12:E21" si="0">$B$5-C12</f>
        <v>24</v>
      </c>
      <c r="F12" s="33" t="str">
        <f t="shared" ref="F12:F21" si="1">IF(E12&lt;20,"JUNIOR","SENIOR")</f>
        <v>SENIOR</v>
      </c>
      <c r="G12" s="20">
        <f t="shared" ref="G12:G21" si="2">IF(E12&lt;20,$B$6,$B$7)</f>
        <v>300</v>
      </c>
      <c r="H12" s="36">
        <f>IF(D12="OUI",$B$8,0)</f>
        <v>25</v>
      </c>
      <c r="I12" s="20">
        <f>INT((G12+H12)*20+0.5)/20</f>
        <v>325</v>
      </c>
      <c r="J12" s="39">
        <f>I12/$B$23</f>
        <v>0.13541666666666666</v>
      </c>
    </row>
    <row r="13" spans="1:10" x14ac:dyDescent="0.2">
      <c r="A13" s="21" t="s">
        <v>16</v>
      </c>
      <c r="B13" s="28" t="s">
        <v>17</v>
      </c>
      <c r="C13" s="45">
        <v>1960</v>
      </c>
      <c r="D13" s="31" t="s">
        <v>15</v>
      </c>
      <c r="E13" s="22">
        <f t="shared" si="0"/>
        <v>57</v>
      </c>
      <c r="F13" s="34" t="str">
        <f t="shared" si="1"/>
        <v>SENIOR</v>
      </c>
      <c r="G13" s="23">
        <f t="shared" si="2"/>
        <v>300</v>
      </c>
      <c r="H13" s="37">
        <f t="shared" ref="H13:H21" si="3">IF(D13="OUI",$B$8,0)</f>
        <v>25</v>
      </c>
      <c r="I13" s="23">
        <f t="shared" ref="I13:I21" si="4">INT((G13+H13)*20+0.5)/20</f>
        <v>325</v>
      </c>
      <c r="J13" s="40">
        <f t="shared" ref="J13:J21" si="5">I13/$B$23</f>
        <v>0.13541666666666666</v>
      </c>
    </row>
    <row r="14" spans="1:10" x14ac:dyDescent="0.2">
      <c r="A14" s="21" t="s">
        <v>18</v>
      </c>
      <c r="B14" s="28" t="s">
        <v>19</v>
      </c>
      <c r="C14" s="45">
        <v>1997</v>
      </c>
      <c r="D14" s="31" t="s">
        <v>20</v>
      </c>
      <c r="E14" s="22">
        <f t="shared" si="0"/>
        <v>20</v>
      </c>
      <c r="F14" s="34" t="str">
        <f t="shared" si="1"/>
        <v>SENIOR</v>
      </c>
      <c r="G14" s="23">
        <f t="shared" si="2"/>
        <v>300</v>
      </c>
      <c r="H14" s="37">
        <f t="shared" si="3"/>
        <v>0</v>
      </c>
      <c r="I14" s="23">
        <f t="shared" si="4"/>
        <v>300</v>
      </c>
      <c r="J14" s="40">
        <f t="shared" si="5"/>
        <v>0.125</v>
      </c>
    </row>
    <row r="15" spans="1:10" x14ac:dyDescent="0.2">
      <c r="A15" s="21" t="s">
        <v>21</v>
      </c>
      <c r="B15" s="28" t="s">
        <v>22</v>
      </c>
      <c r="C15" s="45">
        <v>1999</v>
      </c>
      <c r="D15" s="31" t="s">
        <v>15</v>
      </c>
      <c r="E15" s="22">
        <f t="shared" si="0"/>
        <v>18</v>
      </c>
      <c r="F15" s="34" t="str">
        <f t="shared" si="1"/>
        <v>JUNIOR</v>
      </c>
      <c r="G15" s="23">
        <f t="shared" si="2"/>
        <v>50</v>
      </c>
      <c r="H15" s="37">
        <f t="shared" si="3"/>
        <v>25</v>
      </c>
      <c r="I15" s="23">
        <f t="shared" si="4"/>
        <v>75</v>
      </c>
      <c r="J15" s="40">
        <f t="shared" si="5"/>
        <v>3.125E-2</v>
      </c>
    </row>
    <row r="16" spans="1:10" x14ac:dyDescent="0.2">
      <c r="A16" s="21" t="s">
        <v>23</v>
      </c>
      <c r="B16" s="28" t="s">
        <v>24</v>
      </c>
      <c r="C16" s="45">
        <v>1999</v>
      </c>
      <c r="D16" s="31" t="s">
        <v>20</v>
      </c>
      <c r="E16" s="22">
        <f t="shared" si="0"/>
        <v>18</v>
      </c>
      <c r="F16" s="34" t="str">
        <f t="shared" si="1"/>
        <v>JUNIOR</v>
      </c>
      <c r="G16" s="23">
        <f t="shared" si="2"/>
        <v>50</v>
      </c>
      <c r="H16" s="37">
        <f t="shared" si="3"/>
        <v>0</v>
      </c>
      <c r="I16" s="23">
        <f t="shared" si="4"/>
        <v>50</v>
      </c>
      <c r="J16" s="40">
        <f t="shared" si="5"/>
        <v>2.0833333333333332E-2</v>
      </c>
    </row>
    <row r="17" spans="1:10" x14ac:dyDescent="0.2">
      <c r="A17" s="21" t="s">
        <v>25</v>
      </c>
      <c r="B17" s="28" t="s">
        <v>26</v>
      </c>
      <c r="C17" s="45">
        <v>1997</v>
      </c>
      <c r="D17" s="31" t="s">
        <v>15</v>
      </c>
      <c r="E17" s="22">
        <f t="shared" si="0"/>
        <v>20</v>
      </c>
      <c r="F17" s="34" t="str">
        <f t="shared" si="1"/>
        <v>SENIOR</v>
      </c>
      <c r="G17" s="23">
        <f t="shared" si="2"/>
        <v>300</v>
      </c>
      <c r="H17" s="37">
        <f t="shared" si="3"/>
        <v>25</v>
      </c>
      <c r="I17" s="23">
        <f t="shared" si="4"/>
        <v>325</v>
      </c>
      <c r="J17" s="40">
        <f t="shared" si="5"/>
        <v>0.13541666666666666</v>
      </c>
    </row>
    <row r="18" spans="1:10" x14ac:dyDescent="0.2">
      <c r="A18" s="21" t="s">
        <v>27</v>
      </c>
      <c r="B18" s="28" t="s">
        <v>28</v>
      </c>
      <c r="C18" s="45">
        <v>1986</v>
      </c>
      <c r="D18" s="31" t="s">
        <v>20</v>
      </c>
      <c r="E18" s="22">
        <f t="shared" si="0"/>
        <v>31</v>
      </c>
      <c r="F18" s="34" t="str">
        <f t="shared" si="1"/>
        <v>SENIOR</v>
      </c>
      <c r="G18" s="23">
        <f t="shared" si="2"/>
        <v>300</v>
      </c>
      <c r="H18" s="37">
        <f t="shared" si="3"/>
        <v>0</v>
      </c>
      <c r="I18" s="23">
        <f t="shared" si="4"/>
        <v>300</v>
      </c>
      <c r="J18" s="40">
        <f t="shared" si="5"/>
        <v>0.125</v>
      </c>
    </row>
    <row r="19" spans="1:10" x14ac:dyDescent="0.2">
      <c r="A19" s="21" t="s">
        <v>29</v>
      </c>
      <c r="B19" s="28" t="s">
        <v>30</v>
      </c>
      <c r="C19" s="45">
        <v>1998</v>
      </c>
      <c r="D19" s="31" t="s">
        <v>20</v>
      </c>
      <c r="E19" s="22">
        <f t="shared" si="0"/>
        <v>19</v>
      </c>
      <c r="F19" s="34" t="str">
        <f t="shared" si="1"/>
        <v>JUNIOR</v>
      </c>
      <c r="G19" s="23">
        <f t="shared" si="2"/>
        <v>50</v>
      </c>
      <c r="H19" s="37">
        <f t="shared" si="3"/>
        <v>0</v>
      </c>
      <c r="I19" s="23">
        <f t="shared" si="4"/>
        <v>50</v>
      </c>
      <c r="J19" s="40">
        <f t="shared" si="5"/>
        <v>2.0833333333333332E-2</v>
      </c>
    </row>
    <row r="20" spans="1:10" x14ac:dyDescent="0.2">
      <c r="A20" s="21" t="s">
        <v>31</v>
      </c>
      <c r="B20" s="28" t="s">
        <v>32</v>
      </c>
      <c r="C20" s="45">
        <v>1967</v>
      </c>
      <c r="D20" s="31" t="s">
        <v>15</v>
      </c>
      <c r="E20" s="22">
        <f t="shared" si="0"/>
        <v>50</v>
      </c>
      <c r="F20" s="34" t="str">
        <f t="shared" si="1"/>
        <v>SENIOR</v>
      </c>
      <c r="G20" s="23">
        <f t="shared" si="2"/>
        <v>300</v>
      </c>
      <c r="H20" s="37">
        <f t="shared" si="3"/>
        <v>25</v>
      </c>
      <c r="I20" s="23">
        <f t="shared" si="4"/>
        <v>325</v>
      </c>
      <c r="J20" s="40">
        <f t="shared" si="5"/>
        <v>0.13541666666666666</v>
      </c>
    </row>
    <row r="21" spans="1:10" x14ac:dyDescent="0.2">
      <c r="A21" s="24" t="s">
        <v>33</v>
      </c>
      <c r="B21" s="29" t="s">
        <v>34</v>
      </c>
      <c r="C21" s="46">
        <v>1995</v>
      </c>
      <c r="D21" s="32" t="s">
        <v>15</v>
      </c>
      <c r="E21" s="25">
        <f t="shared" si="0"/>
        <v>22</v>
      </c>
      <c r="F21" s="35" t="str">
        <f t="shared" si="1"/>
        <v>SENIOR</v>
      </c>
      <c r="G21" s="26">
        <f t="shared" si="2"/>
        <v>300</v>
      </c>
      <c r="H21" s="38">
        <f t="shared" si="3"/>
        <v>25</v>
      </c>
      <c r="I21" s="26">
        <f t="shared" si="4"/>
        <v>325</v>
      </c>
      <c r="J21" s="41">
        <f t="shared" si="5"/>
        <v>0.13541666666666666</v>
      </c>
    </row>
    <row r="22" spans="1:10" x14ac:dyDescent="0.2">
      <c r="A22" s="13"/>
    </row>
    <row r="23" spans="1:10" ht="15" x14ac:dyDescent="0.25">
      <c r="A23" s="14" t="s">
        <v>35</v>
      </c>
      <c r="B23" s="16">
        <f>SUM(I12:I21)</f>
        <v>2400</v>
      </c>
    </row>
    <row r="24" spans="1:10" ht="15" x14ac:dyDescent="0.25">
      <c r="A24" s="14" t="s">
        <v>36</v>
      </c>
      <c r="B24" s="17">
        <f>COUNTA(A12:A21)</f>
        <v>10</v>
      </c>
      <c r="C24" s="8"/>
      <c r="D24" s="8"/>
    </row>
    <row r="25" spans="1:10" x14ac:dyDescent="0.2">
      <c r="A25" s="13"/>
    </row>
    <row r="26" spans="1:10" x14ac:dyDescent="0.2">
      <c r="A26" s="13"/>
    </row>
    <row r="27" spans="1:10" x14ac:dyDescent="0.2">
      <c r="A27" s="13"/>
    </row>
    <row r="28" spans="1:10" x14ac:dyDescent="0.2">
      <c r="A28" s="13"/>
    </row>
    <row r="29" spans="1:10" ht="15" x14ac:dyDescent="0.25">
      <c r="A29" s="42" t="s">
        <v>58</v>
      </c>
      <c r="B29" s="9"/>
      <c r="C29" s="9"/>
      <c r="D29" s="9"/>
      <c r="E29" s="9"/>
      <c r="F29" s="9"/>
      <c r="G29" s="9"/>
      <c r="H29" s="9"/>
      <c r="I29" s="9"/>
    </row>
    <row r="30" spans="1:10" x14ac:dyDescent="0.2">
      <c r="A30" s="9"/>
      <c r="B30" s="9"/>
      <c r="C30" s="9"/>
      <c r="D30" s="9"/>
      <c r="E30" s="9"/>
      <c r="F30" s="9"/>
      <c r="G30" s="9"/>
      <c r="H30" s="9"/>
      <c r="I30" s="9"/>
    </row>
    <row r="31" spans="1:10" x14ac:dyDescent="0.2">
      <c r="A31" s="9" t="s">
        <v>56</v>
      </c>
      <c r="B31" s="9"/>
      <c r="C31" s="9"/>
      <c r="D31" s="9"/>
      <c r="E31" s="9"/>
      <c r="F31" s="9"/>
      <c r="G31" s="9"/>
      <c r="H31" s="9"/>
      <c r="I31" s="9"/>
    </row>
    <row r="32" spans="1:10" x14ac:dyDescent="0.2">
      <c r="A32" s="9"/>
      <c r="B32" s="9"/>
      <c r="C32" s="9"/>
      <c r="D32" s="9"/>
      <c r="E32" s="9"/>
      <c r="F32" s="9"/>
      <c r="G32" s="9"/>
      <c r="H32" s="9"/>
      <c r="I32" s="9"/>
    </row>
    <row r="33" spans="1:9" x14ac:dyDescent="0.2">
      <c r="A33" s="9" t="s">
        <v>46</v>
      </c>
      <c r="B33" s="9"/>
      <c r="C33" s="9"/>
      <c r="D33" s="9"/>
      <c r="E33" s="9"/>
      <c r="F33" s="9"/>
      <c r="G33" s="9"/>
      <c r="H33" s="9"/>
      <c r="I33" s="9"/>
    </row>
    <row r="34" spans="1:9" x14ac:dyDescent="0.2">
      <c r="A34" s="9"/>
      <c r="B34" s="9"/>
      <c r="C34" s="9"/>
      <c r="D34" s="9"/>
      <c r="E34" s="9"/>
      <c r="F34" s="9"/>
      <c r="G34" s="9"/>
      <c r="H34" s="9"/>
      <c r="I34" s="9"/>
    </row>
    <row r="35" spans="1:9" x14ac:dyDescent="0.2">
      <c r="A35" s="9" t="s">
        <v>47</v>
      </c>
      <c r="B35" s="9"/>
      <c r="C35" s="9"/>
      <c r="D35" s="9"/>
      <c r="E35" s="9"/>
      <c r="F35" s="9"/>
      <c r="G35" s="9"/>
      <c r="H35" s="9"/>
      <c r="I35" s="9"/>
    </row>
    <row r="36" spans="1:9" x14ac:dyDescent="0.2">
      <c r="A36" s="9"/>
      <c r="B36" s="9"/>
      <c r="C36" s="9"/>
      <c r="D36" s="9"/>
      <c r="E36" s="9"/>
      <c r="F36" s="9"/>
      <c r="G36" s="9"/>
      <c r="H36" s="9"/>
      <c r="I36" s="9"/>
    </row>
    <row r="37" spans="1:9" x14ac:dyDescent="0.2">
      <c r="A37" s="9" t="s">
        <v>48</v>
      </c>
      <c r="B37" s="9"/>
      <c r="C37" s="9"/>
      <c r="D37" s="9"/>
      <c r="E37" s="9"/>
      <c r="F37" s="9"/>
      <c r="G37" s="9"/>
      <c r="H37" s="9"/>
      <c r="I37" s="9"/>
    </row>
    <row r="38" spans="1:9" x14ac:dyDescent="0.2">
      <c r="A38" s="9"/>
      <c r="B38" s="9"/>
      <c r="C38" s="9"/>
      <c r="D38" s="9"/>
      <c r="E38" s="9"/>
      <c r="F38" s="9"/>
      <c r="G38" s="9"/>
      <c r="H38" s="9"/>
      <c r="I38" s="9"/>
    </row>
    <row r="39" spans="1:9" x14ac:dyDescent="0.2">
      <c r="A39" s="9" t="s">
        <v>49</v>
      </c>
      <c r="B39" s="9"/>
      <c r="C39" s="9"/>
      <c r="D39" s="9"/>
      <c r="E39" s="9"/>
      <c r="F39" s="9"/>
      <c r="G39" s="9"/>
      <c r="H39" s="9"/>
      <c r="I39" s="9"/>
    </row>
    <row r="40" spans="1:9" ht="15" x14ac:dyDescent="0.25">
      <c r="A40" s="42"/>
      <c r="B40" s="9"/>
      <c r="C40" s="9"/>
      <c r="D40" s="9"/>
      <c r="E40" s="9"/>
      <c r="F40" s="9"/>
      <c r="G40" s="9"/>
      <c r="H40" s="9"/>
      <c r="I40" s="9"/>
    </row>
    <row r="41" spans="1:9" x14ac:dyDescent="0.2">
      <c r="A41" s="9" t="s">
        <v>50</v>
      </c>
      <c r="B41" s="9"/>
      <c r="C41" s="9"/>
      <c r="D41" s="9"/>
      <c r="E41" s="9"/>
      <c r="F41" s="9"/>
      <c r="G41" s="9"/>
      <c r="H41" s="9"/>
      <c r="I41" s="9"/>
    </row>
    <row r="42" spans="1:9" x14ac:dyDescent="0.2">
      <c r="A42" s="9"/>
      <c r="B42" s="9"/>
      <c r="C42" s="9"/>
      <c r="D42" s="9"/>
      <c r="E42" s="9"/>
      <c r="F42" s="9"/>
      <c r="G42" s="9"/>
      <c r="H42" s="9"/>
      <c r="I42" s="9"/>
    </row>
    <row r="43" spans="1:9" x14ac:dyDescent="0.2">
      <c r="A43" s="9" t="s">
        <v>51</v>
      </c>
      <c r="B43" s="9"/>
      <c r="C43" s="9"/>
      <c r="D43" s="9"/>
      <c r="E43" s="9"/>
      <c r="F43" s="9"/>
      <c r="G43" s="9"/>
      <c r="H43" s="9"/>
      <c r="I43" s="9"/>
    </row>
    <row r="44" spans="1:9" x14ac:dyDescent="0.2">
      <c r="A44" s="9"/>
      <c r="B44" s="9"/>
      <c r="C44" s="9"/>
      <c r="D44" s="9"/>
      <c r="E44" s="9"/>
      <c r="F44" s="9"/>
      <c r="G44" s="9"/>
      <c r="H44" s="9"/>
      <c r="I44" s="9"/>
    </row>
    <row r="45" spans="1:9" x14ac:dyDescent="0.2">
      <c r="A45" s="9" t="s">
        <v>63</v>
      </c>
      <c r="B45" s="9"/>
      <c r="C45" s="9"/>
      <c r="D45" s="9"/>
      <c r="E45" s="9"/>
      <c r="F45" s="9"/>
      <c r="G45" s="9"/>
      <c r="H45" s="9"/>
      <c r="I45" s="9"/>
    </row>
    <row r="46" spans="1:9" x14ac:dyDescent="0.2">
      <c r="A46" s="9"/>
      <c r="B46" s="9"/>
      <c r="C46" s="9"/>
      <c r="D46" s="9"/>
      <c r="E46" s="9"/>
      <c r="F46" s="9"/>
      <c r="G46" s="9"/>
      <c r="H46" s="9"/>
      <c r="I46" s="9"/>
    </row>
    <row r="47" spans="1:9" x14ac:dyDescent="0.2">
      <c r="A47" s="9" t="s">
        <v>52</v>
      </c>
      <c r="B47" s="9"/>
      <c r="C47" s="9"/>
      <c r="D47" s="9"/>
      <c r="E47" s="9"/>
      <c r="F47" s="9"/>
      <c r="G47" s="9"/>
      <c r="H47" s="9"/>
      <c r="I47" s="9"/>
    </row>
    <row r="48" spans="1:9" x14ac:dyDescent="0.2">
      <c r="A48" s="9"/>
      <c r="B48" s="9"/>
      <c r="C48" s="9"/>
      <c r="D48" s="9"/>
      <c r="E48" s="9"/>
      <c r="F48" s="9"/>
      <c r="G48" s="9"/>
      <c r="H48" s="9"/>
      <c r="I48" s="9"/>
    </row>
    <row r="49" spans="1:9" ht="29.25" customHeight="1" x14ac:dyDescent="0.2">
      <c r="A49" s="48" t="s">
        <v>53</v>
      </c>
      <c r="B49" s="48"/>
      <c r="C49" s="48"/>
      <c r="D49" s="48"/>
      <c r="E49" s="48"/>
      <c r="F49" s="48"/>
      <c r="G49" s="48"/>
      <c r="H49" s="48"/>
      <c r="I49" s="48"/>
    </row>
    <row r="50" spans="1:9" x14ac:dyDescent="0.2">
      <c r="A50" s="9"/>
      <c r="B50" s="9"/>
      <c r="C50" s="9"/>
      <c r="D50" s="9"/>
      <c r="E50" s="9"/>
      <c r="F50" s="9"/>
      <c r="G50" s="9"/>
      <c r="H50" s="9"/>
      <c r="I50" s="9"/>
    </row>
    <row r="51" spans="1:9" x14ac:dyDescent="0.2">
      <c r="A51" s="15" t="s">
        <v>54</v>
      </c>
      <c r="B51" s="9"/>
      <c r="C51" s="9"/>
      <c r="D51" s="9"/>
      <c r="E51" s="9"/>
      <c r="F51" s="9"/>
      <c r="G51" s="9"/>
      <c r="H51" s="9"/>
      <c r="I51" s="9"/>
    </row>
    <row r="52" spans="1:9" x14ac:dyDescent="0.2">
      <c r="A52" s="15" t="s">
        <v>65</v>
      </c>
      <c r="B52" s="9"/>
      <c r="C52" s="9"/>
      <c r="D52" s="9"/>
      <c r="E52" s="9"/>
      <c r="F52" s="9"/>
      <c r="G52" s="9"/>
      <c r="H52" s="9"/>
      <c r="I52" s="9"/>
    </row>
    <row r="53" spans="1:9" x14ac:dyDescent="0.2">
      <c r="A53" s="15" t="s">
        <v>59</v>
      </c>
      <c r="B53" s="9"/>
      <c r="C53" s="9"/>
      <c r="D53" s="9"/>
      <c r="E53" s="9"/>
      <c r="F53" s="9"/>
      <c r="G53" s="9"/>
      <c r="H53" s="9"/>
      <c r="I53" s="9"/>
    </row>
    <row r="54" spans="1:9" x14ac:dyDescent="0.2">
      <c r="A54" s="15" t="s">
        <v>60</v>
      </c>
      <c r="B54" s="9"/>
      <c r="C54" s="9"/>
      <c r="D54" s="9"/>
      <c r="E54" s="9"/>
      <c r="F54" s="9"/>
      <c r="G54" s="9"/>
      <c r="H54" s="9"/>
      <c r="I54" s="9"/>
    </row>
    <row r="55" spans="1:9" x14ac:dyDescent="0.2">
      <c r="A55" s="15" t="s">
        <v>61</v>
      </c>
      <c r="B55" s="9"/>
      <c r="C55" s="9"/>
      <c r="D55" s="9"/>
      <c r="E55" s="9"/>
      <c r="F55" s="9"/>
      <c r="G55" s="9"/>
      <c r="H55" s="9"/>
      <c r="I55" s="9"/>
    </row>
    <row r="56" spans="1:9" x14ac:dyDescent="0.2">
      <c r="A56" s="15" t="s">
        <v>57</v>
      </c>
      <c r="B56" s="9"/>
      <c r="C56" s="9"/>
      <c r="D56" s="9"/>
      <c r="E56" s="9"/>
      <c r="F56" s="9"/>
      <c r="G56" s="9"/>
      <c r="H56" s="9"/>
      <c r="I56" s="9"/>
    </row>
    <row r="57" spans="1:9" x14ac:dyDescent="0.2">
      <c r="A57" s="9"/>
      <c r="B57" s="9"/>
      <c r="C57" s="9"/>
      <c r="D57" s="9"/>
      <c r="E57" s="9"/>
      <c r="F57" s="9"/>
      <c r="G57" s="9"/>
      <c r="H57" s="9"/>
      <c r="I57" s="9"/>
    </row>
    <row r="58" spans="1:9" ht="15" x14ac:dyDescent="0.25">
      <c r="A58" s="42" t="s">
        <v>62</v>
      </c>
      <c r="B58" s="9"/>
      <c r="C58" s="9"/>
      <c r="D58" s="9"/>
      <c r="E58" s="9"/>
      <c r="F58" s="9"/>
      <c r="G58" s="9"/>
      <c r="H58" s="9"/>
      <c r="I58" s="9"/>
    </row>
    <row r="59" spans="1:9" x14ac:dyDescent="0.2">
      <c r="A59" s="9"/>
      <c r="B59" s="9"/>
      <c r="C59" s="9"/>
      <c r="D59" s="9"/>
      <c r="E59" s="9"/>
      <c r="F59" s="9"/>
      <c r="G59" s="9"/>
      <c r="H59" s="9"/>
      <c r="I59" s="9"/>
    </row>
    <row r="60" spans="1:9" ht="15" x14ac:dyDescent="0.25">
      <c r="A60" s="42" t="s">
        <v>42</v>
      </c>
      <c r="B60" s="9"/>
      <c r="C60" s="9"/>
      <c r="D60" s="9"/>
      <c r="E60" s="9"/>
      <c r="F60" s="9"/>
      <c r="G60" s="9"/>
      <c r="H60" s="9"/>
      <c r="I60" s="9"/>
    </row>
    <row r="61" spans="1:9" x14ac:dyDescent="0.2">
      <c r="A61" s="9"/>
      <c r="B61" s="9"/>
      <c r="C61" s="9"/>
      <c r="D61" s="9"/>
      <c r="E61" s="9"/>
      <c r="F61" s="9"/>
      <c r="G61" s="9"/>
      <c r="H61" s="9"/>
      <c r="I61" s="9"/>
    </row>
    <row r="62" spans="1:9" ht="15" x14ac:dyDescent="0.25">
      <c r="A62" s="42" t="s">
        <v>37</v>
      </c>
      <c r="B62" s="9"/>
      <c r="C62" s="9"/>
      <c r="D62" s="9"/>
      <c r="E62" s="9"/>
      <c r="F62" s="9"/>
      <c r="G62" s="9"/>
      <c r="H62" s="9"/>
      <c r="I62" s="9"/>
    </row>
    <row r="63" spans="1:9" ht="15" x14ac:dyDescent="0.25">
      <c r="A63" s="42"/>
      <c r="B63" s="9"/>
      <c r="C63" s="9"/>
      <c r="D63" s="9"/>
      <c r="E63" s="9"/>
      <c r="F63" s="9"/>
      <c r="G63" s="9"/>
      <c r="H63" s="9"/>
      <c r="I63" s="9"/>
    </row>
    <row r="64" spans="1:9" ht="15" x14ac:dyDescent="0.25">
      <c r="A64" s="42" t="s">
        <v>38</v>
      </c>
      <c r="B64" s="9"/>
      <c r="C64" s="9"/>
      <c r="D64" s="9"/>
      <c r="E64" s="9"/>
      <c r="F64" s="9"/>
      <c r="G64" s="9"/>
      <c r="H64" s="9"/>
      <c r="I64" s="9"/>
    </row>
    <row r="65" spans="1:9" ht="15" x14ac:dyDescent="0.25">
      <c r="A65" s="42"/>
      <c r="B65" s="9"/>
      <c r="C65" s="9"/>
      <c r="D65" s="9"/>
      <c r="E65" s="9"/>
      <c r="F65" s="9"/>
      <c r="G65" s="9"/>
      <c r="H65" s="9"/>
      <c r="I65" s="9"/>
    </row>
    <row r="66" spans="1:9" ht="15" x14ac:dyDescent="0.25">
      <c r="A66" s="42" t="s">
        <v>39</v>
      </c>
      <c r="B66" s="9"/>
      <c r="C66" s="9"/>
      <c r="D66" s="9"/>
      <c r="E66" s="9"/>
      <c r="F66" s="9"/>
      <c r="G66" s="9"/>
      <c r="H66" s="9"/>
      <c r="I66" s="9"/>
    </row>
    <row r="67" spans="1:9" ht="15" x14ac:dyDescent="0.25">
      <c r="A67" s="42"/>
      <c r="B67" s="9"/>
      <c r="C67" s="9"/>
      <c r="D67" s="9"/>
      <c r="E67" s="9"/>
      <c r="F67" s="9"/>
      <c r="G67" s="9"/>
      <c r="H67" s="9"/>
      <c r="I67" s="9"/>
    </row>
    <row r="68" spans="1:9" ht="15" x14ac:dyDescent="0.25">
      <c r="A68" s="42" t="s">
        <v>40</v>
      </c>
      <c r="B68" s="9"/>
      <c r="C68" s="9"/>
      <c r="D68" s="9"/>
      <c r="E68" s="9"/>
      <c r="F68" s="9"/>
      <c r="G68" s="9"/>
      <c r="H68" s="9"/>
      <c r="I68" s="9"/>
    </row>
    <row r="69" spans="1:9" x14ac:dyDescent="0.2">
      <c r="A69" s="9"/>
      <c r="B69" s="9"/>
      <c r="C69" s="9"/>
      <c r="D69" s="9"/>
      <c r="E69" s="9"/>
      <c r="F69" s="9"/>
      <c r="G69" s="9"/>
      <c r="H69" s="9"/>
      <c r="I69" s="9"/>
    </row>
    <row r="70" spans="1:9" ht="15" x14ac:dyDescent="0.25">
      <c r="A70" s="42" t="s">
        <v>64</v>
      </c>
      <c r="B70" s="9"/>
      <c r="C70" s="9"/>
      <c r="D70" s="9"/>
      <c r="E70" s="9"/>
      <c r="F70" s="9"/>
      <c r="G70" s="9"/>
      <c r="H70" s="9"/>
      <c r="I70" s="9"/>
    </row>
    <row r="71" spans="1:9" x14ac:dyDescent="0.2">
      <c r="A71" s="9"/>
      <c r="B71" s="9"/>
      <c r="C71" s="9"/>
      <c r="D71" s="9"/>
      <c r="E71" s="9"/>
      <c r="F71" s="9"/>
      <c r="G71" s="9"/>
      <c r="H71" s="9"/>
      <c r="I71" s="9"/>
    </row>
    <row r="72" spans="1:9" ht="15" x14ac:dyDescent="0.25">
      <c r="A72" s="42" t="s">
        <v>43</v>
      </c>
      <c r="B72" s="9"/>
      <c r="C72" s="9"/>
      <c r="D72" s="9"/>
      <c r="E72" s="9"/>
      <c r="F72" s="9"/>
      <c r="G72" s="9"/>
      <c r="H72" s="9"/>
      <c r="I72" s="9"/>
    </row>
    <row r="73" spans="1:9" ht="15" x14ac:dyDescent="0.25">
      <c r="A73" s="42"/>
      <c r="B73" s="9"/>
      <c r="C73" s="9"/>
      <c r="D73" s="9"/>
      <c r="E73" s="9"/>
      <c r="F73" s="9"/>
      <c r="G73" s="9"/>
      <c r="H73" s="9"/>
      <c r="I73" s="9"/>
    </row>
    <row r="74" spans="1:9" ht="15" x14ac:dyDescent="0.25">
      <c r="A74" s="42" t="s">
        <v>44</v>
      </c>
      <c r="B74" s="9"/>
      <c r="C74" s="9"/>
      <c r="D74" s="9"/>
      <c r="E74" s="9"/>
      <c r="F74" s="9"/>
      <c r="G74" s="9"/>
      <c r="H74" s="9"/>
      <c r="I74" s="9"/>
    </row>
    <row r="75" spans="1:9" x14ac:dyDescent="0.2">
      <c r="A75" s="9"/>
      <c r="B75" s="9"/>
      <c r="C75" s="9"/>
      <c r="D75" s="9"/>
      <c r="E75" s="9"/>
      <c r="F75" s="9"/>
      <c r="G75" s="9"/>
      <c r="H75" s="9"/>
      <c r="I75" s="9"/>
    </row>
    <row r="76" spans="1:9" ht="15" x14ac:dyDescent="0.25">
      <c r="A76" s="42" t="s">
        <v>66</v>
      </c>
      <c r="B76" s="9"/>
      <c r="C76" s="9"/>
      <c r="D76" s="9"/>
      <c r="E76" s="9"/>
      <c r="F76" s="9"/>
      <c r="G76" s="9"/>
      <c r="H76" s="9"/>
      <c r="I76" s="9"/>
    </row>
    <row r="77" spans="1:9" ht="15" x14ac:dyDescent="0.25">
      <c r="A77" s="42" t="s">
        <v>55</v>
      </c>
      <c r="B77" s="9"/>
      <c r="C77" s="9"/>
      <c r="D77" s="9"/>
      <c r="E77" s="9"/>
      <c r="F77" s="9"/>
      <c r="G77" s="9"/>
      <c r="H77" s="9"/>
      <c r="I77" s="9"/>
    </row>
  </sheetData>
  <mergeCells count="2">
    <mergeCell ref="A2:J2"/>
    <mergeCell ref="A49:I49"/>
  </mergeCells>
  <conditionalFormatting sqref="D12:D21">
    <cfRule type="cellIs" dxfId="1" priority="2" operator="equal">
      <formula>"oui"</formula>
    </cfRule>
  </conditionalFormatting>
  <conditionalFormatting sqref="C12:C21">
    <cfRule type="cellIs" dxfId="0" priority="1" operator="lessThan">
      <formula>1970</formula>
    </cfRule>
  </conditionalFormatting>
  <printOptions horizontalCentered="1"/>
  <pageMargins left="0.43307086614173229" right="0.23622047244094491" top="0.51181102362204722" bottom="0.62992125984251968" header="0.39370078740157483" footer="0.27559055118110237"/>
  <pageSetup paperSize="9" scale="68" orientation="portrait" r:id="rId1"/>
  <headerFooter alignWithMargins="0">
    <oddHeader>&amp;L&amp;"Arial,Italique"&amp;12Sion, le &amp;D</oddHeader>
    <oddFooter>&amp;C&amp;"Arial,Gras"&amp;13&amp;F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Club de bridge</vt:lpstr>
      <vt:lpstr>'Club de bridge'!Zone_d_impression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</dc:creator>
  <cp:lastModifiedBy>Michèle Grosset-Bovier</cp:lastModifiedBy>
  <cp:lastPrinted>2021-02-06T17:01:08Z</cp:lastPrinted>
  <dcterms:created xsi:type="dcterms:W3CDTF">2012-09-15T15:02:21Z</dcterms:created>
  <dcterms:modified xsi:type="dcterms:W3CDTF">2021-02-06T17:01:10Z</dcterms:modified>
</cp:coreProperties>
</file>