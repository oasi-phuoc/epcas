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3. Arrondis/"/>
    </mc:Choice>
  </mc:AlternateContent>
  <xr:revisionPtr revIDLastSave="3" documentId="11_AD4D9D64A577C15A4A5418A3685E67F85ADEDD85" xr6:coauthVersionLast="47" xr6:coauthVersionMax="47" xr10:uidLastSave="{1018C0DF-EF82-4095-9E1B-C091B3AF313E}"/>
  <bookViews>
    <workbookView xWindow="465" yWindow="330" windowWidth="18915" windowHeight="15195" xr2:uid="{00000000-000D-0000-FFFF-FFFF00000000}"/>
  </bookViews>
  <sheets>
    <sheet name="Moyennes arrondies" sheetId="2" r:id="rId1"/>
    <sheet name="Conditions multiples" sheetId="3" r:id="rId2"/>
  </sheets>
  <externalReferences>
    <externalReference r:id="rId3"/>
  </externalReferences>
  <definedNames>
    <definedName name="_xlnm.Database" localSheetId="0">'Moyennes arrondies'!$B$7:$B$8</definedName>
    <definedName name="_xlnm.Database">#REF!</definedName>
    <definedName name="_xlnm.Print_Area" localSheetId="0">'Moyennes arrondies'!$A$1:$N$37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F5" i="3" s="1"/>
  <c r="E6" i="3"/>
  <c r="F6" i="3"/>
  <c r="G6" i="3" s="1"/>
  <c r="E7" i="3"/>
  <c r="F7" i="3" s="1"/>
  <c r="G7" i="3" s="1"/>
  <c r="E8" i="3"/>
  <c r="F8" i="3" s="1"/>
  <c r="G8" i="3" s="1"/>
  <c r="E9" i="3"/>
  <c r="F9" i="3"/>
  <c r="G9" i="3"/>
  <c r="E10" i="3"/>
  <c r="F10" i="3" s="1"/>
  <c r="G10" i="3" s="1"/>
  <c r="E11" i="3"/>
  <c r="F11" i="3"/>
  <c r="G11" i="3" s="1"/>
  <c r="E12" i="3"/>
  <c r="F12" i="3"/>
  <c r="G12" i="3" s="1"/>
  <c r="E13" i="3"/>
  <c r="F13" i="3"/>
  <c r="G13" i="3" s="1"/>
  <c r="B14" i="3"/>
  <c r="C14" i="3"/>
  <c r="D14" i="3"/>
  <c r="G5" i="3" l="1"/>
  <c r="F14" i="3"/>
  <c r="E14" i="3"/>
  <c r="E6" i="2"/>
  <c r="F6" i="2" s="1"/>
  <c r="G6" i="2" s="1"/>
  <c r="H6" i="2" s="1"/>
  <c r="I7" i="2"/>
  <c r="K7" i="2" s="1"/>
  <c r="L7" i="2"/>
  <c r="N7" i="2"/>
  <c r="A8" i="2"/>
  <c r="I8" i="2"/>
  <c r="I12" i="2" s="1"/>
  <c r="A9" i="2"/>
  <c r="I9" i="2"/>
  <c r="L9" i="2" s="1"/>
  <c r="N9" i="2" s="1"/>
  <c r="A10" i="2"/>
  <c r="I10" i="2"/>
  <c r="K10" i="2" s="1"/>
  <c r="I11" i="2"/>
  <c r="K11" i="2" s="1"/>
  <c r="D12" i="2"/>
  <c r="E12" i="2"/>
  <c r="F12" i="2"/>
  <c r="G12" i="2"/>
  <c r="H12" i="2"/>
  <c r="J12" i="2"/>
  <c r="B14" i="2"/>
  <c r="L10" i="2" l="1"/>
  <c r="N10" i="2" s="1"/>
  <c r="L8" i="2"/>
  <c r="K8" i="2"/>
  <c r="K12" i="2" s="1"/>
  <c r="K9" i="2"/>
  <c r="L11" i="2"/>
  <c r="N11" i="2" s="1"/>
  <c r="L12" i="2" l="1"/>
  <c r="N8" i="2"/>
</calcChain>
</file>

<file path=xl/sharedStrings.xml><?xml version="1.0" encoding="utf-8"?>
<sst xmlns="http://schemas.openxmlformats.org/spreadsheetml/2006/main" count="99" uniqueCount="81">
  <si>
    <t>5. PROTEGER TOUTES LES CELLULES QUI COMPORTENT UNE FORMULE, SANS MOT DE PASSE.</t>
  </si>
  <si>
    <t>4. AFFICHER, EN CELLULE B14, LE NOMBRE D'ELEVES QUI COMPOSENT LE GROUPE INFORMATIQUE, SOUS LA FORME : 5 élèves
     NOMMER LA PLAGE DE CELLULES B7 à B11 (élèves) ET UTILISER CE NOM DANS VOTRE FORMULE.</t>
  </si>
  <si>
    <t>3. TOUTES LES NOTES INFERIEURES A 4 DOIVENT S'AFFICHER AUTOMATIQUEMENT EN ECRITURE ROUGE.</t>
  </si>
  <si>
    <t xml:space="preserve"> ==&gt; ADMISSION PROVISOIRE.</t>
  </si>
  <si>
    <t>SI PAS PROVISOIRE (NON dans colonne M)</t>
  </si>
  <si>
    <t xml:space="preserve"> ==&gt; ECHEC/TRANSFERT</t>
  </si>
  <si>
    <t>SI PROVISOIRE (OUI dans colonne M)</t>
  </si>
  <si>
    <t xml:space="preserve">      SINON</t>
  </si>
  <si>
    <t xml:space="preserve"> ==&gt; REUSSITE</t>
  </si>
  <si>
    <t>A PARTIR DE 4.00 y compris</t>
  </si>
  <si>
    <t>----&gt;</t>
  </si>
  <si>
    <t>REMARQUE (SUR MOYENNE 0.5 et col. M)</t>
  </si>
  <si>
    <t>·</t>
  </si>
  <si>
    <t>MOYENNE DE CHAQUE COLONNE, ARRONDIE A 0.10.</t>
  </si>
  <si>
    <t>LIGNE MOYENNES (ligne 12)</t>
  </si>
  <si>
    <t>MOYENNE EXACTE (prendre en compte col. I et col. J).</t>
  </si>
  <si>
    <t>MOYENNE EXACTE APRES EXAMEN (col. L)</t>
  </si>
  <si>
    <t>MOYENNE AU DEMI POINT (prendre en compte col. I et col. J).</t>
  </si>
  <si>
    <t>MOYENNE (0.5) APRES EXAMEN (col. K)</t>
  </si>
  <si>
    <t>SACHANT QUE LES EXAMENS 2 ET 4 COMPTENT DOUBLE.</t>
  </si>
  <si>
    <t>MOYENNE EXACTE, ARRONDIE A UNE DECIMALE</t>
  </si>
  <si>
    <t>MOYENNE AVANT EXAMEN (col. I)</t>
  </si>
  <si>
    <t>2. INTRODUIRE LES FORMULES DE CALCUL (ZONES OMBREES) :</t>
  </si>
  <si>
    <t>1. INTRODUIRE LES VALEURS CONNUES.</t>
  </si>
  <si>
    <t>TRAVAIL A REALISER :</t>
  </si>
  <si>
    <t>composent le groupe Informatique</t>
  </si>
  <si>
    <t>Moyennes</t>
  </si>
  <si>
    <t>OUI</t>
  </si>
  <si>
    <t>NADINE</t>
  </si>
  <si>
    <t>NON</t>
  </si>
  <si>
    <t>JACQUES</t>
  </si>
  <si>
    <t>JEAN</t>
  </si>
  <si>
    <t>PAUL</t>
  </si>
  <si>
    <t>PIERRE</t>
  </si>
  <si>
    <t>DECISION SEMESTRE SUIVANT</t>
  </si>
  <si>
    <t>DÉJÀ UTILISÉ
JOKER</t>
  </si>
  <si>
    <t>MOYENNE EXACTE APRES EXAMEN SEMESTRE</t>
  </si>
  <si>
    <t>MOYENNE (0.5) APRES EXAMEN SEMESTRE</t>
  </si>
  <si>
    <t>EXAMEN SEMESTRIEL</t>
  </si>
  <si>
    <t>MOYENNE AVANT EXAMEN SEMESTRIEL</t>
  </si>
  <si>
    <t>PRENOMS</t>
  </si>
  <si>
    <t>No</t>
  </si>
  <si>
    <t>Informatique</t>
  </si>
  <si>
    <t xml:space="preserve">Branche : </t>
  </si>
  <si>
    <t>NOTES</t>
  </si>
  <si>
    <t>MOYENNE ARRONDIE AU DIZIEME</t>
  </si>
  <si>
    <t xml:space="preserve"> -----&gt;</t>
  </si>
  <si>
    <t>LIGNE MOYENNE</t>
  </si>
  <si>
    <t xml:space="preserve">        *****</t>
  </si>
  <si>
    <t xml:space="preserve"> ===&gt; PASSABLE</t>
  </si>
  <si>
    <t xml:space="preserve"> - NOTE &lt; A 4.5</t>
  </si>
  <si>
    <t xml:space="preserve"> ===&gt; BIEN</t>
  </si>
  <si>
    <t xml:space="preserve"> - NOTE 4.5 et 5.4</t>
  </si>
  <si>
    <t xml:space="preserve"> ===&gt; TRES BIEN</t>
  </si>
  <si>
    <t xml:space="preserve"> - NOTE 5.5 et 6</t>
  </si>
  <si>
    <t>SELON LA COLONNE MOYENNE 0.5</t>
  </si>
  <si>
    <t>COLONNE REMARQUE</t>
  </si>
  <si>
    <t>MOYENNE AU DEMI-POINT</t>
  </si>
  <si>
    <t>COLONNE MOYENNE (0.5)</t>
  </si>
  <si>
    <t>MOYENNE EXACTE</t>
  </si>
  <si>
    <t>COLONNE MOYENNE</t>
  </si>
  <si>
    <t>2. INTRODUCTION DES FORMULES DE CALCUL (ZONES OMBREES)</t>
  </si>
  <si>
    <t>1. INTRODUCTION DES VALEURS CONNUES</t>
  </si>
  <si>
    <t xml:space="preserve">TRAVAIL A REALISER : </t>
  </si>
  <si>
    <t>MOYENNE (1/10)</t>
  </si>
  <si>
    <t>JULIE</t>
  </si>
  <si>
    <t>VIRGINIE</t>
  </si>
  <si>
    <t>SONIA</t>
  </si>
  <si>
    <t>SANDRINE</t>
  </si>
  <si>
    <t>MICHEL</t>
  </si>
  <si>
    <t>JOHN</t>
  </si>
  <si>
    <t>FLORENCE</t>
  </si>
  <si>
    <t>ANNE</t>
  </si>
  <si>
    <t>REMARQUE</t>
  </si>
  <si>
    <t>MOYENNE (0.5)</t>
  </si>
  <si>
    <t>MOYENNE</t>
  </si>
  <si>
    <t>EXAMEN 3</t>
  </si>
  <si>
    <t>EXAMEN 2</t>
  </si>
  <si>
    <t>EXAMEN 1</t>
  </si>
  <si>
    <t>PRENOM</t>
  </si>
  <si>
    <t>CALCUL DE 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</si>
</sst>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élèves&quot;"/>
    <numFmt numFmtId="165" formatCode="0.0"/>
    <numFmt numFmtId="166" formatCode="[&gt;=4]0.00;[Red][&lt;4]0.00;General"/>
    <numFmt numFmtId="167" formatCode="[&gt;=4]0.0;[Red][&lt;4]0.0;General"/>
  </numFmts>
  <fonts count="15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0"/>
      <name val="Times New Roman"/>
      <family val="1"/>
    </font>
    <font>
      <sz val="10"/>
      <name val="Symbol"/>
      <family val="1"/>
      <charset val="2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6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0"/>
      <name val="MS Sans Serif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48">
    <xf numFmtId="0" fontId="0" fillId="0" borderId="0" xfId="0"/>
    <xf numFmtId="0" fontId="1" fillId="0" borderId="0" xfId="1" applyAlignment="1">
      <alignment vertical="top"/>
    </xf>
    <xf numFmtId="0" fontId="2" fillId="0" borderId="0" xfId="1" applyFont="1" applyAlignment="1">
      <alignment vertical="top"/>
    </xf>
    <xf numFmtId="0" fontId="2" fillId="0" borderId="0" xfId="1" applyFont="1" applyAlignment="1">
      <alignment vertical="top" wrapText="1"/>
    </xf>
    <xf numFmtId="0" fontId="1" fillId="0" borderId="0" xfId="1"/>
    <xf numFmtId="0" fontId="1" fillId="0" borderId="0" xfId="1" quotePrefix="1" applyAlignment="1">
      <alignment vertical="top"/>
    </xf>
    <xf numFmtId="0" fontId="3" fillId="0" borderId="0" xfId="1" applyFont="1" applyAlignment="1">
      <alignment horizontal="right" vertical="top"/>
    </xf>
    <xf numFmtId="0" fontId="1" fillId="0" borderId="0" xfId="1" applyAlignment="1">
      <alignment horizontal="centerContinuous" vertical="top"/>
    </xf>
    <xf numFmtId="0" fontId="4" fillId="0" borderId="0" xfId="1" applyFont="1" applyAlignment="1">
      <alignment vertical="top"/>
    </xf>
    <xf numFmtId="164" fontId="1" fillId="0" borderId="0" xfId="1" applyNumberFormat="1" applyAlignment="1">
      <alignment vertical="top"/>
    </xf>
    <xf numFmtId="165" fontId="1" fillId="0" borderId="0" xfId="1" applyNumberFormat="1" applyAlignment="1">
      <alignment vertical="top"/>
    </xf>
    <xf numFmtId="165" fontId="4" fillId="0" borderId="0" xfId="1" applyNumberFormat="1" applyFont="1" applyAlignment="1">
      <alignment vertical="top"/>
    </xf>
    <xf numFmtId="165" fontId="5" fillId="2" borderId="1" xfId="1" applyNumberFormat="1" applyFont="1" applyFill="1" applyBorder="1" applyAlignment="1">
      <alignment horizontal="center" vertical="top"/>
    </xf>
    <xf numFmtId="0" fontId="4" fillId="0" borderId="1" xfId="1" applyFont="1" applyBorder="1" applyAlignment="1">
      <alignment vertical="top"/>
    </xf>
    <xf numFmtId="0" fontId="1" fillId="0" borderId="0" xfId="1" applyAlignment="1">
      <alignment horizontal="center" vertical="top"/>
    </xf>
    <xf numFmtId="166" fontId="2" fillId="3" borderId="0" xfId="1" applyNumberFormat="1" applyFont="1" applyFill="1" applyAlignment="1">
      <alignment horizontal="center" vertical="top"/>
    </xf>
    <xf numFmtId="167" fontId="4" fillId="2" borderId="1" xfId="1" applyNumberFormat="1" applyFont="1" applyFill="1" applyBorder="1" applyAlignment="1">
      <alignment horizontal="center" vertical="top"/>
    </xf>
    <xf numFmtId="2" fontId="4" fillId="0" borderId="1" xfId="1" applyNumberFormat="1" applyFont="1" applyBorder="1" applyAlignment="1">
      <alignment horizontal="center" vertical="top"/>
    </xf>
    <xf numFmtId="165" fontId="4" fillId="2" borderId="1" xfId="1" applyNumberFormat="1" applyFont="1" applyFill="1" applyBorder="1" applyAlignment="1">
      <alignment horizontal="center" vertical="top"/>
    </xf>
    <xf numFmtId="2" fontId="1" fillId="3" borderId="0" xfId="1" applyNumberFormat="1" applyFill="1" applyAlignment="1">
      <alignment horizontal="center" vertical="top"/>
    </xf>
    <xf numFmtId="165" fontId="1" fillId="3" borderId="1" xfId="1" applyNumberFormat="1" applyFill="1" applyBorder="1" applyAlignment="1">
      <alignment horizontal="center" vertical="top"/>
    </xf>
    <xf numFmtId="0" fontId="1" fillId="0" borderId="1" xfId="1" applyBorder="1" applyAlignment="1">
      <alignment vertical="top"/>
    </xf>
    <xf numFmtId="0" fontId="1" fillId="0" borderId="1" xfId="1" applyBorder="1" applyAlignment="1">
      <alignment horizontal="center" vertical="top"/>
    </xf>
    <xf numFmtId="167" fontId="4" fillId="0" borderId="1" xfId="1" applyNumberFormat="1" applyFont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 vertical="top"/>
    </xf>
    <xf numFmtId="0" fontId="1" fillId="0" borderId="1" xfId="1" applyBorder="1" applyAlignment="1">
      <alignment horizontal="left" vertical="top"/>
    </xf>
    <xf numFmtId="2" fontId="6" fillId="0" borderId="1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left" vertical="top"/>
    </xf>
    <xf numFmtId="0" fontId="7" fillId="0" borderId="0" xfId="1" applyFont="1" applyAlignment="1">
      <alignment horizontal="centerContinuous" vertical="top"/>
    </xf>
    <xf numFmtId="0" fontId="8" fillId="0" borderId="0" xfId="1" applyFont="1" applyAlignment="1">
      <alignment horizontal="centerContinuous" vertical="top"/>
    </xf>
    <xf numFmtId="0" fontId="9" fillId="0" borderId="0" xfId="1" applyFont="1" applyAlignment="1">
      <alignment horizontal="center" vertical="top"/>
    </xf>
    <xf numFmtId="0" fontId="11" fillId="0" borderId="0" xfId="2" applyFont="1"/>
    <xf numFmtId="0" fontId="12" fillId="0" borderId="0" xfId="2" applyFont="1"/>
    <xf numFmtId="0" fontId="11" fillId="0" borderId="0" xfId="2" applyFont="1" applyAlignment="1">
      <alignment horizontal="left"/>
    </xf>
    <xf numFmtId="0" fontId="13" fillId="0" borderId="0" xfId="2" applyFont="1" applyAlignment="1">
      <alignment horizontal="centerContinuous"/>
    </xf>
    <xf numFmtId="0" fontId="13" fillId="0" borderId="0" xfId="2" applyFont="1" applyAlignment="1">
      <alignment horizontal="left"/>
    </xf>
    <xf numFmtId="2" fontId="11" fillId="4" borderId="1" xfId="2" quotePrefix="1" applyNumberFormat="1" applyFont="1" applyFill="1" applyBorder="1" applyAlignment="1">
      <alignment horizontal="center"/>
    </xf>
    <xf numFmtId="0" fontId="14" fillId="0" borderId="1" xfId="2" applyFont="1" applyBorder="1"/>
    <xf numFmtId="0" fontId="11" fillId="4" borderId="1" xfId="2" applyFont="1" applyFill="1" applyBorder="1"/>
    <xf numFmtId="2" fontId="11" fillId="4" borderId="1" xfId="2" applyNumberFormat="1" applyFont="1" applyFill="1" applyBorder="1" applyAlignment="1">
      <alignment horizontal="center"/>
    </xf>
    <xf numFmtId="2" fontId="11" fillId="0" borderId="1" xfId="2" applyNumberFormat="1" applyFont="1" applyBorder="1" applyAlignment="1">
      <alignment horizontal="center"/>
    </xf>
    <xf numFmtId="0" fontId="11" fillId="0" borderId="1" xfId="2" applyFont="1" applyBorder="1"/>
    <xf numFmtId="0" fontId="11" fillId="4" borderId="1" xfId="2" quotePrefix="1" applyFont="1" applyFill="1" applyBorder="1"/>
    <xf numFmtId="0" fontId="14" fillId="0" borderId="1" xfId="2" applyFont="1" applyBorder="1" applyAlignment="1">
      <alignment horizontal="center"/>
    </xf>
  </cellXfs>
  <cellStyles count="3">
    <cellStyle name="Normal" xfId="0" builtinId="0"/>
    <cellStyle name="Normal 2" xfId="1" xr:uid="{8FC62AF3-8C2F-4302-B1D5-E3A5F8936F4F}"/>
    <cellStyle name="Normal 3" xfId="2" xr:uid="{81500E3E-0BE5-4B7D-9E67-140794CD66DB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eduvs-my.sharepoint.com/personal/phuoc_van_edu_vs_ch/Documents/EPCA/Support%20de%20cours%20(ofro%2024)/Informatique/3e%20ann&#233;e/02.%20EXCEL/03.%20Arrondis/Moyennes%20arrondies%20(cahier).xlsx" TargetMode="External"/><Relationship Id="rId1" Type="http://schemas.openxmlformats.org/officeDocument/2006/relationships/externalLinkPath" Target="Moyennes%20arrondies%20(cahie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9A75-D79F-4805-99BB-AEC784C78D62}">
  <sheetPr>
    <tabColor rgb="FF00B050"/>
    <pageSetUpPr fitToPage="1"/>
  </sheetPr>
  <dimension ref="A2:Q37"/>
  <sheetViews>
    <sheetView showGridLines="0" tabSelected="1" zoomScale="130" zoomScaleNormal="130" workbookViewId="0">
      <selection activeCell="L17" sqref="L17"/>
    </sheetView>
  </sheetViews>
  <sheetFormatPr baseColWidth="10" defaultRowHeight="13.15" customHeight="1" x14ac:dyDescent="0.25"/>
  <cols>
    <col min="1" max="1" width="3.42578125" style="1" customWidth="1"/>
    <col min="2" max="2" width="11" style="1" customWidth="1"/>
    <col min="3" max="3" width="1.5703125" style="1" customWidth="1"/>
    <col min="4" max="4" width="5.42578125" style="1" customWidth="1"/>
    <col min="5" max="5" width="5" style="1" customWidth="1"/>
    <col min="6" max="6" width="5.5703125" style="1" customWidth="1"/>
    <col min="7" max="7" width="5.42578125" style="1" customWidth="1"/>
    <col min="8" max="8" width="6.42578125" style="1" customWidth="1"/>
    <col min="9" max="10" width="11.42578125" style="1"/>
    <col min="11" max="11" width="14.42578125" style="1" customWidth="1"/>
    <col min="12" max="12" width="12.5703125" style="1" customWidth="1"/>
    <col min="13" max="13" width="13.42578125" style="1" customWidth="1"/>
    <col min="14" max="14" width="24" style="1" customWidth="1"/>
    <col min="15" max="16" width="11.42578125" style="1"/>
    <col min="17" max="17" width="3.28515625" style="1" customWidth="1"/>
    <col min="18" max="16384" width="11.42578125" style="1"/>
  </cols>
  <sheetData>
    <row r="2" spans="1:17" ht="20.25" x14ac:dyDescent="0.25">
      <c r="A2" s="34" t="s">
        <v>44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7" ht="13.15" customHeight="1" x14ac:dyDescent="0.25">
      <c r="A3" s="33"/>
      <c r="B3" s="32"/>
      <c r="C3" s="32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7" ht="13.15" customHeight="1" x14ac:dyDescent="0.25">
      <c r="A4" s="8" t="s">
        <v>43</v>
      </c>
      <c r="B4" s="8"/>
      <c r="C4" s="31"/>
      <c r="D4" s="8" t="s">
        <v>42</v>
      </c>
      <c r="E4" s="8"/>
      <c r="F4" s="8"/>
      <c r="G4" s="8"/>
      <c r="H4" s="8"/>
    </row>
    <row r="6" spans="1:17" ht="33" x14ac:dyDescent="0.25">
      <c r="A6" s="28" t="s">
        <v>41</v>
      </c>
      <c r="B6" s="28" t="s">
        <v>40</v>
      </c>
      <c r="C6" s="30"/>
      <c r="D6" s="29">
        <v>1</v>
      </c>
      <c r="E6" s="29">
        <f>D6+1</f>
        <v>2</v>
      </c>
      <c r="F6" s="29">
        <f>E6+1</f>
        <v>3</v>
      </c>
      <c r="G6" s="29">
        <f>F6+1</f>
        <v>4</v>
      </c>
      <c r="H6" s="29">
        <f>G6+1</f>
        <v>5</v>
      </c>
      <c r="I6" s="28" t="s">
        <v>39</v>
      </c>
      <c r="J6" s="27" t="s">
        <v>38</v>
      </c>
      <c r="K6" s="27" t="s">
        <v>37</v>
      </c>
      <c r="L6" s="26" t="s">
        <v>36</v>
      </c>
      <c r="M6" s="26" t="s">
        <v>35</v>
      </c>
      <c r="N6" s="26" t="s">
        <v>34</v>
      </c>
    </row>
    <row r="7" spans="1:17" ht="13.15" customHeight="1" x14ac:dyDescent="0.25">
      <c r="A7" s="22">
        <v>1</v>
      </c>
      <c r="B7" s="21" t="s">
        <v>33</v>
      </c>
      <c r="D7" s="24">
        <v>2.5</v>
      </c>
      <c r="E7" s="24">
        <v>1.9</v>
      </c>
      <c r="F7" s="24">
        <v>4.2</v>
      </c>
      <c r="G7" s="24">
        <v>4</v>
      </c>
      <c r="H7" s="24">
        <v>2.2000000000000002</v>
      </c>
      <c r="I7" s="18">
        <f>ROUND(AVERAGE(D7,E7,E7,F7,G7,G7,H7),1)</f>
        <v>3</v>
      </c>
      <c r="J7" s="24">
        <v>4.2</v>
      </c>
      <c r="K7" s="18">
        <f>INT(AVERAGE(I7:J7)*2+0.5)/2</f>
        <v>3.5</v>
      </c>
      <c r="L7" s="18">
        <f>AVERAGE(I7:J7)</f>
        <v>3.6</v>
      </c>
      <c r="M7" s="23" t="s">
        <v>27</v>
      </c>
      <c r="N7" s="16" t="str">
        <f>IF(L7&gt;=4,"REUSSITE",IF(M7="OUI","ECHEC/TRANSFERT","ADMISSION PROVISOIRE"))</f>
        <v>ECHEC/TRANSFERT</v>
      </c>
    </row>
    <row r="8" spans="1:17" ht="13.15" customHeight="1" x14ac:dyDescent="0.25">
      <c r="A8" s="22">
        <f>A7+1</f>
        <v>2</v>
      </c>
      <c r="B8" s="21" t="s">
        <v>32</v>
      </c>
      <c r="D8" s="24">
        <v>3.3</v>
      </c>
      <c r="E8" s="24">
        <v>4</v>
      </c>
      <c r="F8" s="24">
        <v>4</v>
      </c>
      <c r="G8" s="24">
        <v>4.5</v>
      </c>
      <c r="H8" s="24">
        <v>4.5</v>
      </c>
      <c r="I8" s="18">
        <f>ROUND(AVERAGE(D8,E8,E8,F8,G8,G8,H8),1)</f>
        <v>4.0999999999999996</v>
      </c>
      <c r="J8" s="24">
        <v>4</v>
      </c>
      <c r="K8" s="18">
        <f>INT(AVERAGE(I8:J8)*2+0.5)/2</f>
        <v>4</v>
      </c>
      <c r="L8" s="18">
        <f>AVERAGE(I8:J8)</f>
        <v>4.05</v>
      </c>
      <c r="M8" s="23" t="s">
        <v>29</v>
      </c>
      <c r="N8" s="16" t="str">
        <f>IF(L8&gt;=4,"REUSSITE",IF(M8="OUI","ECHEC/TRANSFERT","ADMISSION PROVISOIRE"))</f>
        <v>REUSSITE</v>
      </c>
    </row>
    <row r="9" spans="1:17" ht="13.15" customHeight="1" x14ac:dyDescent="0.25">
      <c r="A9" s="22">
        <f>A8+1</f>
        <v>3</v>
      </c>
      <c r="B9" s="21" t="s">
        <v>31</v>
      </c>
      <c r="D9" s="24">
        <v>3.5</v>
      </c>
      <c r="E9" s="24">
        <v>4.7</v>
      </c>
      <c r="F9" s="24">
        <v>4.7</v>
      </c>
      <c r="G9" s="24">
        <v>4.2</v>
      </c>
      <c r="H9" s="24">
        <v>4.2</v>
      </c>
      <c r="I9" s="18">
        <f>ROUND(AVERAGE(D9,E9,E9,F9,G9,G9,H9),1)</f>
        <v>4.3</v>
      </c>
      <c r="J9" s="24">
        <v>5</v>
      </c>
      <c r="K9" s="18">
        <f>INT(AVERAGE(I9:J9)*2+0.5)/2</f>
        <v>4.5</v>
      </c>
      <c r="L9" s="18">
        <f>AVERAGE(I9:J9)</f>
        <v>4.6500000000000004</v>
      </c>
      <c r="M9" s="23" t="s">
        <v>27</v>
      </c>
      <c r="N9" s="16" t="str">
        <f>IF(L9&gt;=4,"REUSSITE",IF(M9="OUI","ECHEC/TRANSFERT","ADMISSION PROVISOIRE"))</f>
        <v>REUSSITE</v>
      </c>
    </row>
    <row r="10" spans="1:17" ht="13.15" customHeight="1" x14ac:dyDescent="0.25">
      <c r="A10" s="22">
        <f>A9+1</f>
        <v>4</v>
      </c>
      <c r="B10" s="25" t="s">
        <v>30</v>
      </c>
      <c r="D10" s="24">
        <v>3</v>
      </c>
      <c r="E10" s="24">
        <v>4.5</v>
      </c>
      <c r="F10" s="24">
        <v>2</v>
      </c>
      <c r="G10" s="24">
        <v>3.5</v>
      </c>
      <c r="H10" s="24">
        <v>4</v>
      </c>
      <c r="I10" s="18">
        <f>ROUND(AVERAGE(D10,E10,E10,F10,G10,G10,H10),1)</f>
        <v>3.6</v>
      </c>
      <c r="J10" s="24">
        <v>3.5</v>
      </c>
      <c r="K10" s="18">
        <f>INT(AVERAGE(I10:J10)*2+0.5)/2</f>
        <v>3.5</v>
      </c>
      <c r="L10" s="18">
        <f>AVERAGE(I10:J10)</f>
        <v>3.55</v>
      </c>
      <c r="M10" s="23" t="s">
        <v>29</v>
      </c>
      <c r="N10" s="16" t="str">
        <f>IF(L10&gt;=4,"REUSSITE",IF(M10="OUI","ECHEC/TRANSFERT","ADMISSION PROVISOIRE"))</f>
        <v>ADMISSION PROVISOIRE</v>
      </c>
    </row>
    <row r="11" spans="1:17" ht="13.15" customHeight="1" x14ac:dyDescent="0.25">
      <c r="A11" s="22">
        <v>5</v>
      </c>
      <c r="B11" s="21" t="s">
        <v>28</v>
      </c>
      <c r="D11" s="20">
        <v>4.5</v>
      </c>
      <c r="E11" s="20">
        <v>5.2</v>
      </c>
      <c r="F11" s="20">
        <v>3.8</v>
      </c>
      <c r="G11" s="20">
        <v>5.3</v>
      </c>
      <c r="H11" s="20">
        <v>4.5999999999999996</v>
      </c>
      <c r="I11" s="18">
        <f>ROUND(AVERAGE(D11,E11,E11,F11,G11,G11,H11),1)</f>
        <v>4.8</v>
      </c>
      <c r="J11" s="19">
        <v>4.5</v>
      </c>
      <c r="K11" s="18">
        <f>INT(AVERAGE(I11:J11)*2+0.5)/2</f>
        <v>4.5</v>
      </c>
      <c r="L11" s="18">
        <f>AVERAGE(I11:J11)</f>
        <v>4.6500000000000004</v>
      </c>
      <c r="M11" s="17" t="s">
        <v>27</v>
      </c>
      <c r="N11" s="16" t="str">
        <f>IF(L11&gt;=4,"REUSSITE",IF(M11="OUI","ECHEC/TRANSFERT","ADMISSION PROVISOIRE"))</f>
        <v>REUSSITE</v>
      </c>
      <c r="O11" s="15"/>
      <c r="P11" s="14"/>
    </row>
    <row r="12" spans="1:17" ht="13.15" customHeight="1" x14ac:dyDescent="0.25">
      <c r="B12" s="13" t="s">
        <v>26</v>
      </c>
      <c r="D12" s="12">
        <f>ROUND(AVERAGE(D7:D11),1)</f>
        <v>3.4</v>
      </c>
      <c r="E12" s="12">
        <f>ROUND(AVERAGE(E7:E11),1)</f>
        <v>4.0999999999999996</v>
      </c>
      <c r="F12" s="12">
        <f>ROUND(AVERAGE(F7:F11),1)</f>
        <v>3.7</v>
      </c>
      <c r="G12" s="12">
        <f>ROUND(AVERAGE(G7:G11),1)</f>
        <v>4.3</v>
      </c>
      <c r="H12" s="12">
        <f>ROUND(AVERAGE(H7:H11),1)</f>
        <v>3.9</v>
      </c>
      <c r="I12" s="12">
        <f>ROUND(AVERAGE(I7:I11),1)</f>
        <v>4</v>
      </c>
      <c r="J12" s="12">
        <f>ROUND(AVERAGE(J7:J11),1)</f>
        <v>4.2</v>
      </c>
      <c r="K12" s="12">
        <f>ROUND(AVERAGE(K7:K11),1)</f>
        <v>4</v>
      </c>
      <c r="L12" s="12">
        <f>ROUND(AVERAGE(L7:L11),1)</f>
        <v>4.0999999999999996</v>
      </c>
    </row>
    <row r="13" spans="1:17" ht="13.15" customHeight="1" x14ac:dyDescent="0.25">
      <c r="B13" s="8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0"/>
    </row>
    <row r="14" spans="1:17" ht="13.15" customHeight="1" x14ac:dyDescent="0.25">
      <c r="B14" s="9">
        <f>COUNTA(B7:B11)</f>
        <v>5</v>
      </c>
      <c r="C14" s="2" t="s">
        <v>25</v>
      </c>
    </row>
    <row r="16" spans="1:17" ht="12.75" x14ac:dyDescent="0.2">
      <c r="A16" s="8" t="s">
        <v>24</v>
      </c>
      <c r="B16" s="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8" spans="1:16" ht="13.15" customHeight="1" x14ac:dyDescent="0.2">
      <c r="A18" s="1" t="s">
        <v>23</v>
      </c>
      <c r="B18" s="4"/>
    </row>
    <row r="19" spans="1:16" ht="13.15" customHeight="1" x14ac:dyDescent="0.2">
      <c r="B19" s="4"/>
    </row>
    <row r="20" spans="1:16" ht="13.15" customHeight="1" x14ac:dyDescent="0.2">
      <c r="A20" s="1" t="s">
        <v>22</v>
      </c>
      <c r="B20" s="4"/>
    </row>
    <row r="22" spans="1:16" ht="13.15" customHeight="1" x14ac:dyDescent="0.2">
      <c r="A22" s="6" t="s">
        <v>12</v>
      </c>
      <c r="B22" s="1" t="s">
        <v>21</v>
      </c>
      <c r="C22" s="4"/>
      <c r="D22" s="4"/>
      <c r="E22" s="4"/>
      <c r="F22" s="4"/>
      <c r="G22" s="4"/>
      <c r="H22" s="4"/>
      <c r="I22" s="5" t="s">
        <v>10</v>
      </c>
      <c r="J22" s="1" t="s">
        <v>20</v>
      </c>
      <c r="L22" s="4"/>
    </row>
    <row r="23" spans="1:16" ht="13.15" customHeight="1" x14ac:dyDescent="0.2">
      <c r="A23" s="6"/>
      <c r="C23" s="4"/>
      <c r="D23" s="4"/>
      <c r="E23" s="4"/>
      <c r="F23" s="4"/>
      <c r="G23" s="4"/>
      <c r="H23" s="4"/>
      <c r="I23" s="5"/>
      <c r="J23" s="1" t="s">
        <v>19</v>
      </c>
      <c r="L23" s="4"/>
    </row>
    <row r="24" spans="1:16" ht="13.15" customHeight="1" x14ac:dyDescent="0.2">
      <c r="A24" s="6" t="s">
        <v>12</v>
      </c>
      <c r="B24" s="1" t="s">
        <v>18</v>
      </c>
      <c r="C24" s="4"/>
      <c r="D24" s="4"/>
      <c r="E24" s="4"/>
      <c r="F24" s="4"/>
      <c r="G24" s="4"/>
      <c r="H24" s="4"/>
      <c r="I24" s="5" t="s">
        <v>10</v>
      </c>
      <c r="J24" s="1" t="s">
        <v>17</v>
      </c>
      <c r="L24" s="4"/>
    </row>
    <row r="25" spans="1:16" ht="13.15" customHeight="1" x14ac:dyDescent="0.2">
      <c r="A25" s="6" t="s">
        <v>12</v>
      </c>
      <c r="B25" s="1" t="s">
        <v>16</v>
      </c>
      <c r="C25" s="4"/>
      <c r="D25" s="4"/>
      <c r="E25" s="4"/>
      <c r="F25" s="4"/>
      <c r="G25" s="4"/>
      <c r="H25" s="4"/>
      <c r="I25" s="5" t="s">
        <v>10</v>
      </c>
      <c r="J25" s="1" t="s">
        <v>15</v>
      </c>
      <c r="L25" s="4"/>
    </row>
    <row r="26" spans="1:16" ht="13.15" customHeight="1" x14ac:dyDescent="0.2">
      <c r="A26" s="6" t="s">
        <v>12</v>
      </c>
      <c r="B26" s="1" t="s">
        <v>14</v>
      </c>
      <c r="E26" s="4"/>
      <c r="F26" s="4"/>
      <c r="G26" s="4"/>
      <c r="H26" s="4"/>
      <c r="I26" s="5" t="s">
        <v>10</v>
      </c>
      <c r="J26" s="1" t="s">
        <v>13</v>
      </c>
      <c r="L26" s="4"/>
    </row>
    <row r="27" spans="1:16" ht="13.15" customHeight="1" x14ac:dyDescent="0.2">
      <c r="E27" s="4"/>
      <c r="F27" s="4"/>
      <c r="G27" s="4"/>
      <c r="H27" s="4"/>
      <c r="I27" s="5"/>
    </row>
    <row r="28" spans="1:16" ht="13.15" customHeight="1" x14ac:dyDescent="0.2">
      <c r="A28" s="6" t="s">
        <v>12</v>
      </c>
      <c r="B28" s="1" t="s">
        <v>11</v>
      </c>
      <c r="E28" s="4"/>
      <c r="F28" s="4"/>
      <c r="G28" s="4"/>
      <c r="H28" s="4"/>
      <c r="I28" s="5" t="s">
        <v>10</v>
      </c>
      <c r="J28" s="1" t="s">
        <v>9</v>
      </c>
      <c r="M28" s="1" t="s">
        <v>8</v>
      </c>
    </row>
    <row r="29" spans="1:16" ht="13.15" customHeight="1" x14ac:dyDescent="0.2">
      <c r="J29" s="1" t="s">
        <v>7</v>
      </c>
      <c r="M29" s="4"/>
    </row>
    <row r="30" spans="1:16" ht="13.15" customHeight="1" x14ac:dyDescent="0.25">
      <c r="J30" s="2" t="s">
        <v>6</v>
      </c>
      <c r="M30" s="2" t="s">
        <v>5</v>
      </c>
    </row>
    <row r="31" spans="1:16" ht="13.15" customHeight="1" x14ac:dyDescent="0.2">
      <c r="J31" s="2" t="s">
        <v>4</v>
      </c>
      <c r="M31" s="2" t="s">
        <v>3</v>
      </c>
      <c r="P31" s="4"/>
    </row>
    <row r="33" spans="1:1" ht="13.15" customHeight="1" x14ac:dyDescent="0.25">
      <c r="A33" s="2" t="s">
        <v>2</v>
      </c>
    </row>
    <row r="35" spans="1:1" s="3" customFormat="1" ht="26.45" customHeight="1" x14ac:dyDescent="0.25">
      <c r="A35" s="3" t="s">
        <v>1</v>
      </c>
    </row>
    <row r="36" spans="1:1" ht="13.15" customHeight="1" x14ac:dyDescent="0.25">
      <c r="A36" s="2"/>
    </row>
    <row r="37" spans="1:1" ht="13.15" customHeight="1" x14ac:dyDescent="0.25">
      <c r="A37" s="2" t="s">
        <v>0</v>
      </c>
    </row>
  </sheetData>
  <mergeCells count="2">
    <mergeCell ref="A2:N2"/>
    <mergeCell ref="A35:XFD35"/>
  </mergeCells>
  <conditionalFormatting sqref="D7:L12">
    <cfRule type="cellIs" dxfId="0" priority="1" stopIfTrue="1" operator="lessThan">
      <formula>4</formula>
    </cfRule>
  </conditionalFormatting>
  <printOptions horizontalCentered="1" headings="1"/>
  <pageMargins left="0.78740157480314965" right="0.59055118110236227" top="0.78740157480314965" bottom="0.78740157480314965" header="0.31496062992125984" footer="0.31496062992125984"/>
  <pageSetup paperSize="9" scale="89" orientation="landscape" r:id="rId1"/>
  <headerFooter alignWithMargins="0">
    <oddHeader>&amp;C&amp;"Times New Roman,Gras"&amp;16MOYENNES ARRONDIES</oddHeader>
    <oddFooter>&amp;C&amp;"Arial,Normal"&amp;9Moyennes arrondies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06A8-5BD9-4E53-AF48-C235369163D1}">
  <sheetPr>
    <tabColor rgb="FF00B050"/>
    <pageSetUpPr fitToPage="1"/>
  </sheetPr>
  <dimension ref="A1:G34"/>
  <sheetViews>
    <sheetView showGridLines="0" workbookViewId="0">
      <selection activeCell="A19" sqref="A19"/>
    </sheetView>
  </sheetViews>
  <sheetFormatPr baseColWidth="10" defaultRowHeight="12.75" x14ac:dyDescent="0.2"/>
  <cols>
    <col min="1" max="1" width="16" style="35" customWidth="1"/>
    <col min="2" max="4" width="18.140625" style="35" customWidth="1"/>
    <col min="5" max="5" width="21.85546875" style="35" customWidth="1"/>
    <col min="6" max="6" width="18.5703125" style="35" customWidth="1"/>
    <col min="7" max="7" width="17" style="35" customWidth="1"/>
    <col min="8" max="16384" width="11.42578125" style="35"/>
  </cols>
  <sheetData>
    <row r="1" spans="1:7" ht="20.25" x14ac:dyDescent="0.3">
      <c r="A1" s="38" t="s">
        <v>80</v>
      </c>
      <c r="B1" s="38"/>
      <c r="C1" s="38"/>
      <c r="D1" s="38"/>
      <c r="E1" s="38"/>
      <c r="F1" s="38"/>
      <c r="G1" s="38"/>
    </row>
    <row r="4" spans="1:7" x14ac:dyDescent="0.2">
      <c r="A4" s="47" t="s">
        <v>79</v>
      </c>
      <c r="B4" s="47" t="s">
        <v>78</v>
      </c>
      <c r="C4" s="47" t="s">
        <v>77</v>
      </c>
      <c r="D4" s="47" t="s">
        <v>76</v>
      </c>
      <c r="E4" s="47" t="s">
        <v>75</v>
      </c>
      <c r="F4" s="47" t="s">
        <v>74</v>
      </c>
      <c r="G4" s="47" t="s">
        <v>73</v>
      </c>
    </row>
    <row r="5" spans="1:7" x14ac:dyDescent="0.2">
      <c r="A5" s="45" t="s">
        <v>72</v>
      </c>
      <c r="B5" s="44">
        <v>2.8</v>
      </c>
      <c r="C5" s="44">
        <v>4.5999999999999996</v>
      </c>
      <c r="D5" s="44">
        <v>4.0999999999999996</v>
      </c>
      <c r="E5" s="40">
        <f>AVERAGE(B5:D5)</f>
        <v>3.8333333333333335</v>
      </c>
      <c r="F5" s="40">
        <f>INT(E5*2+0.5)/2</f>
        <v>4</v>
      </c>
      <c r="G5" s="46" t="str">
        <f>IF(F5&gt;=5.5,"TRES BIEN",IF(F5&gt;=4.5,"BIEN","PASSABLE"))</f>
        <v>PASSABLE</v>
      </c>
    </row>
    <row r="6" spans="1:7" x14ac:dyDescent="0.2">
      <c r="A6" s="45" t="s">
        <v>71</v>
      </c>
      <c r="B6" s="44">
        <v>3.8</v>
      </c>
      <c r="C6" s="44">
        <v>5.25</v>
      </c>
      <c r="D6" s="44">
        <v>4.4000000000000004</v>
      </c>
      <c r="E6" s="43">
        <f>AVERAGE(B6:D6)</f>
        <v>4.4833333333333334</v>
      </c>
      <c r="F6" s="40">
        <f>INT(E6*2+0.5)/2</f>
        <v>4.5</v>
      </c>
      <c r="G6" s="42" t="str">
        <f>IF(F6&gt;=5.5,"TRES BIEN",IF(F6&gt;=4.5,"BIEN","PASSABLE"))</f>
        <v>BIEN</v>
      </c>
    </row>
    <row r="7" spans="1:7" x14ac:dyDescent="0.2">
      <c r="A7" s="45" t="s">
        <v>30</v>
      </c>
      <c r="B7" s="44">
        <v>5.5</v>
      </c>
      <c r="C7" s="44">
        <v>5.4</v>
      </c>
      <c r="D7" s="44">
        <v>5</v>
      </c>
      <c r="E7" s="43">
        <f>AVERAGE(B7:D7)</f>
        <v>5.3</v>
      </c>
      <c r="F7" s="40">
        <f>INT(E7*2+0.5)/2</f>
        <v>5.5</v>
      </c>
      <c r="G7" s="42" t="str">
        <f>IF(F7&gt;=5.5,"TRES BIEN",IF(F7&gt;=4.5,"BIEN","PASSABLE"))</f>
        <v>TRES BIEN</v>
      </c>
    </row>
    <row r="8" spans="1:7" x14ac:dyDescent="0.2">
      <c r="A8" s="45" t="s">
        <v>70</v>
      </c>
      <c r="B8" s="44">
        <v>4</v>
      </c>
      <c r="C8" s="44">
        <v>4.5999999999999996</v>
      </c>
      <c r="D8" s="44">
        <v>4.4000000000000004</v>
      </c>
      <c r="E8" s="43">
        <f>AVERAGE(B8:D8)</f>
        <v>4.333333333333333</v>
      </c>
      <c r="F8" s="40">
        <f>INT(E8*2+0.5)/2</f>
        <v>4.5</v>
      </c>
      <c r="G8" s="42" t="str">
        <f>IF(F8&gt;=5.5,"TRES BIEN",IF(F8&gt;=4.5,"BIEN","PASSABLE"))</f>
        <v>BIEN</v>
      </c>
    </row>
    <row r="9" spans="1:7" x14ac:dyDescent="0.2">
      <c r="A9" s="45" t="s">
        <v>69</v>
      </c>
      <c r="B9" s="44">
        <v>3</v>
      </c>
      <c r="C9" s="44">
        <v>4.75</v>
      </c>
      <c r="D9" s="44">
        <v>4.0999999999999996</v>
      </c>
      <c r="E9" s="43">
        <f>AVERAGE(B9:D9)</f>
        <v>3.9499999999999997</v>
      </c>
      <c r="F9" s="40">
        <f>INT(E9*2+0.5)/2</f>
        <v>4</v>
      </c>
      <c r="G9" s="42" t="str">
        <f>IF(F9&gt;=5.5,"TRES BIEN",IF(F9&gt;=4.5,"BIEN","PASSABLE"))</f>
        <v>PASSABLE</v>
      </c>
    </row>
    <row r="10" spans="1:7" x14ac:dyDescent="0.2">
      <c r="A10" s="45" t="s">
        <v>68</v>
      </c>
      <c r="B10" s="44">
        <v>4.5</v>
      </c>
      <c r="C10" s="44">
        <v>5.6</v>
      </c>
      <c r="D10" s="44">
        <v>5.2</v>
      </c>
      <c r="E10" s="43">
        <f>AVERAGE(B10:D10)</f>
        <v>5.1000000000000005</v>
      </c>
      <c r="F10" s="40">
        <f>INT(E10*2+0.5)/2</f>
        <v>5</v>
      </c>
      <c r="G10" s="42" t="str">
        <f>IF(F10&gt;=5.5,"TRES BIEN",IF(F10&gt;=4.5,"BIEN","PASSABLE"))</f>
        <v>BIEN</v>
      </c>
    </row>
    <row r="11" spans="1:7" x14ac:dyDescent="0.2">
      <c r="A11" s="45" t="s">
        <v>67</v>
      </c>
      <c r="B11" s="44">
        <v>3.3</v>
      </c>
      <c r="C11" s="44">
        <v>3.6</v>
      </c>
      <c r="D11" s="44">
        <v>4.5</v>
      </c>
      <c r="E11" s="43">
        <f>AVERAGE(B11:D11)</f>
        <v>3.8000000000000003</v>
      </c>
      <c r="F11" s="40">
        <f>INT(E11*2+0.5)/2</f>
        <v>4</v>
      </c>
      <c r="G11" s="42" t="str">
        <f>IF(F11&gt;=5.5,"TRES BIEN",IF(F11&gt;=4.5,"BIEN","PASSABLE"))</f>
        <v>PASSABLE</v>
      </c>
    </row>
    <row r="12" spans="1:7" x14ac:dyDescent="0.2">
      <c r="A12" s="45" t="s">
        <v>66</v>
      </c>
      <c r="B12" s="44">
        <v>5.3</v>
      </c>
      <c r="C12" s="44">
        <v>5.75</v>
      </c>
      <c r="D12" s="44">
        <v>5.5</v>
      </c>
      <c r="E12" s="43">
        <f>AVERAGE(B12:D12)</f>
        <v>5.5166666666666666</v>
      </c>
      <c r="F12" s="40">
        <f>INT(E12*2+0.5)/2</f>
        <v>5.5</v>
      </c>
      <c r="G12" s="42" t="str">
        <f>IF(F12&gt;=5.5,"TRES BIEN",IF(F12&gt;=4.5,"BIEN","PASSABLE"))</f>
        <v>TRES BIEN</v>
      </c>
    </row>
    <row r="13" spans="1:7" x14ac:dyDescent="0.2">
      <c r="A13" s="35" t="s">
        <v>65</v>
      </c>
      <c r="B13" s="44">
        <v>5.2</v>
      </c>
      <c r="C13" s="44">
        <v>4.7</v>
      </c>
      <c r="D13" s="44">
        <v>5.3</v>
      </c>
      <c r="E13" s="43">
        <f>AVERAGE(B13:D13)</f>
        <v>5.0666666666666664</v>
      </c>
      <c r="F13" s="40">
        <f>INT(E13*2+0.5)/2</f>
        <v>5</v>
      </c>
      <c r="G13" s="42" t="str">
        <f>IF(F13&gt;=5.5,"TRES BIEN",IF(F13&gt;=4.5,"BIEN","PASSABLE"))</f>
        <v>BIEN</v>
      </c>
    </row>
    <row r="14" spans="1:7" x14ac:dyDescent="0.2">
      <c r="A14" s="41" t="s">
        <v>64</v>
      </c>
      <c r="B14" s="40">
        <f>ROUND(AVERAGE(B5:B13),1)</f>
        <v>4.2</v>
      </c>
      <c r="C14" s="40">
        <f>ROUND(AVERAGE(C5:C13),1)</f>
        <v>4.9000000000000004</v>
      </c>
      <c r="D14" s="40">
        <f>ROUND(AVERAGE(D5:D13),1)</f>
        <v>4.7</v>
      </c>
      <c r="E14" s="40">
        <f>ROUND(AVERAGE(E5:E13),1)</f>
        <v>4.5999999999999996</v>
      </c>
      <c r="F14" s="40">
        <f>ROUND(AVERAGE(F5:F13),1)</f>
        <v>4.7</v>
      </c>
    </row>
    <row r="16" spans="1:7" ht="20.25" x14ac:dyDescent="0.3">
      <c r="A16" s="39" t="s">
        <v>63</v>
      </c>
      <c r="B16" s="38"/>
      <c r="C16" s="38"/>
      <c r="D16" s="38"/>
      <c r="E16" s="38"/>
      <c r="F16" s="38"/>
      <c r="G16" s="38"/>
    </row>
    <row r="18" spans="1:6" ht="15.75" x14ac:dyDescent="0.25">
      <c r="A18" s="36" t="s">
        <v>62</v>
      </c>
    </row>
    <row r="20" spans="1:6" ht="15.75" x14ac:dyDescent="0.25">
      <c r="A20" s="36" t="s">
        <v>61</v>
      </c>
    </row>
    <row r="22" spans="1:6" x14ac:dyDescent="0.2">
      <c r="A22" s="35" t="s">
        <v>48</v>
      </c>
      <c r="B22" s="35" t="s">
        <v>60</v>
      </c>
      <c r="D22" s="35" t="s">
        <v>46</v>
      </c>
      <c r="E22" s="35" t="s">
        <v>59</v>
      </c>
    </row>
    <row r="24" spans="1:6" x14ac:dyDescent="0.2">
      <c r="A24" s="35" t="s">
        <v>48</v>
      </c>
      <c r="B24" s="35" t="s">
        <v>58</v>
      </c>
      <c r="D24" s="35" t="s">
        <v>46</v>
      </c>
      <c r="E24" s="35" t="s">
        <v>57</v>
      </c>
    </row>
    <row r="26" spans="1:6" x14ac:dyDescent="0.2">
      <c r="A26" s="35" t="s">
        <v>48</v>
      </c>
      <c r="B26" s="35" t="s">
        <v>56</v>
      </c>
      <c r="D26" s="35" t="s">
        <v>46</v>
      </c>
      <c r="E26" s="35" t="s">
        <v>55</v>
      </c>
    </row>
    <row r="28" spans="1:6" x14ac:dyDescent="0.2">
      <c r="E28" s="35" t="s">
        <v>54</v>
      </c>
      <c r="F28" s="37" t="s">
        <v>53</v>
      </c>
    </row>
    <row r="29" spans="1:6" x14ac:dyDescent="0.2">
      <c r="E29" s="35" t="s">
        <v>52</v>
      </c>
      <c r="F29" s="37" t="s">
        <v>51</v>
      </c>
    </row>
    <row r="30" spans="1:6" x14ac:dyDescent="0.2">
      <c r="E30" s="35" t="s">
        <v>50</v>
      </c>
      <c r="F30" s="35" t="s">
        <v>49</v>
      </c>
    </row>
    <row r="32" spans="1:6" x14ac:dyDescent="0.2">
      <c r="A32" s="35" t="s">
        <v>48</v>
      </c>
      <c r="B32" s="35" t="s">
        <v>47</v>
      </c>
      <c r="D32" s="35" t="s">
        <v>46</v>
      </c>
      <c r="E32" s="35" t="s">
        <v>45</v>
      </c>
    </row>
    <row r="34" spans="1:1" ht="15.75" x14ac:dyDescent="0.25">
      <c r="A34" s="36"/>
    </row>
  </sheetData>
  <printOptions headings="1" gridLinesSet="0"/>
  <pageMargins left="0.94488188976377963" right="0.78740157480314965" top="0.9055118110236221" bottom="0.82677165354330717" header="0.43307086614173229" footer="0.39370078740157483"/>
  <pageSetup paperSize="9" scale="98" orientation="landscape" horizontalDpi="4294967293" verticalDpi="4294967293" r:id="rId1"/>
  <headerFooter alignWithMargins="0">
    <oddHeader>&amp;C&amp;"MS Sans Serif,Gras"&amp;14CONDITIONS MULTIPLES</oddHeader>
    <oddFooter>&amp;C&amp;8Conditions multiples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Moyennes arrondies</vt:lpstr>
      <vt:lpstr>Conditions multiples</vt:lpstr>
      <vt:lpstr>'Moyennes arrondies'!Base_de_donnees</vt:lpstr>
      <vt:lpstr>'Moyennes arrondies'!Zone_d_impression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dcterms:created xsi:type="dcterms:W3CDTF">2015-06-05T18:19:34Z</dcterms:created>
  <dcterms:modified xsi:type="dcterms:W3CDTF">2025-06-23T08:50:24Z</dcterms:modified>
</cp:coreProperties>
</file>