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4. Tri et filtre/Exercice 16/"/>
    </mc:Choice>
  </mc:AlternateContent>
  <xr:revisionPtr revIDLastSave="159" documentId="13_ncr:1_{6F79A996-B3E1-4747-AD05-B1A1A68882D1}" xr6:coauthVersionLast="47" xr6:coauthVersionMax="47" xr10:uidLastSave="{CF748DA5-2AAF-485C-8F78-50E9E5C0DDAC}"/>
  <bookViews>
    <workbookView xWindow="2580" yWindow="105" windowWidth="18915" windowHeight="15195" xr2:uid="{50BDEE2A-D2B4-224A-A4F2-81F3D722440F}"/>
  </bookViews>
  <sheets>
    <sheet name="Filtre 1" sheetId="8" r:id="rId1"/>
    <sheet name="Filtre 2" sheetId="17" r:id="rId2"/>
    <sheet name="Filtre 3" sheetId="15" r:id="rId3"/>
    <sheet name="Filtre 4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6" i="17" l="1"/>
  <c r="R66" i="17" s="1"/>
  <c r="K66" i="17"/>
  <c r="L66" i="17" s="1"/>
  <c r="J66" i="17"/>
  <c r="I66" i="17"/>
  <c r="Q62" i="17"/>
  <c r="R62" i="17" s="1"/>
  <c r="K62" i="17"/>
  <c r="L62" i="17" s="1"/>
  <c r="J62" i="17"/>
  <c r="I62" i="17"/>
  <c r="Q22" i="17"/>
  <c r="R22" i="17" s="1"/>
  <c r="K22" i="17"/>
  <c r="L22" i="17" s="1"/>
  <c r="J22" i="17"/>
  <c r="I22" i="17"/>
  <c r="Q57" i="17"/>
  <c r="R57" i="17" s="1"/>
  <c r="K57" i="17"/>
  <c r="L57" i="17" s="1"/>
  <c r="J57" i="17"/>
  <c r="I57" i="17"/>
  <c r="Q16" i="17"/>
  <c r="R16" i="17" s="1"/>
  <c r="K16" i="17"/>
  <c r="L16" i="17" s="1"/>
  <c r="J16" i="17"/>
  <c r="I16" i="17"/>
  <c r="Q76" i="17"/>
  <c r="R76" i="17" s="1"/>
  <c r="K76" i="17"/>
  <c r="L76" i="17" s="1"/>
  <c r="J76" i="17"/>
  <c r="I76" i="17"/>
  <c r="Q28" i="17"/>
  <c r="R28" i="17" s="1"/>
  <c r="K28" i="17"/>
  <c r="L28" i="17" s="1"/>
  <c r="J28" i="17"/>
  <c r="I28" i="17"/>
  <c r="Q87" i="17"/>
  <c r="R87" i="17" s="1"/>
  <c r="K87" i="17"/>
  <c r="L87" i="17" s="1"/>
  <c r="J87" i="17"/>
  <c r="I87" i="17"/>
  <c r="Q68" i="17"/>
  <c r="R68" i="17" s="1"/>
  <c r="K68" i="17"/>
  <c r="L68" i="17" s="1"/>
  <c r="J68" i="17"/>
  <c r="I68" i="17"/>
  <c r="Q51" i="17"/>
  <c r="R51" i="17" s="1"/>
  <c r="K51" i="17"/>
  <c r="L51" i="17" s="1"/>
  <c r="J51" i="17"/>
  <c r="I51" i="17"/>
  <c r="Q74" i="17"/>
  <c r="R74" i="17" s="1"/>
  <c r="K74" i="17"/>
  <c r="L74" i="17" s="1"/>
  <c r="J74" i="17"/>
  <c r="I74" i="17"/>
  <c r="Q58" i="17"/>
  <c r="R58" i="17" s="1"/>
  <c r="K58" i="17"/>
  <c r="L58" i="17" s="1"/>
  <c r="J58" i="17"/>
  <c r="I58" i="17"/>
  <c r="Q18" i="17"/>
  <c r="R18" i="17" s="1"/>
  <c r="K18" i="17"/>
  <c r="L18" i="17" s="1"/>
  <c r="J18" i="17"/>
  <c r="I18" i="17"/>
  <c r="Q11" i="17"/>
  <c r="R11" i="17" s="1"/>
  <c r="K11" i="17"/>
  <c r="L11" i="17" s="1"/>
  <c r="J11" i="17"/>
  <c r="I11" i="17"/>
  <c r="Q44" i="17"/>
  <c r="R44" i="17" s="1"/>
  <c r="K44" i="17"/>
  <c r="L44" i="17" s="1"/>
  <c r="J44" i="17"/>
  <c r="I44" i="17"/>
  <c r="Q9" i="17"/>
  <c r="R9" i="17" s="1"/>
  <c r="K9" i="17"/>
  <c r="L9" i="17" s="1"/>
  <c r="J9" i="17"/>
  <c r="I9" i="17"/>
  <c r="Q3" i="17"/>
  <c r="R3" i="17" s="1"/>
  <c r="K3" i="17"/>
  <c r="L3" i="17" s="1"/>
  <c r="J3" i="17"/>
  <c r="I3" i="17"/>
  <c r="Q14" i="17"/>
  <c r="R14" i="17" s="1"/>
  <c r="K14" i="17"/>
  <c r="L14" i="17" s="1"/>
  <c r="J14" i="17"/>
  <c r="I14" i="17"/>
  <c r="Q96" i="17"/>
  <c r="R96" i="17" s="1"/>
  <c r="K96" i="17"/>
  <c r="L96" i="17" s="1"/>
  <c r="J96" i="17"/>
  <c r="I96" i="17"/>
  <c r="Q23" i="17"/>
  <c r="R23" i="17" s="1"/>
  <c r="K23" i="17"/>
  <c r="L23" i="17" s="1"/>
  <c r="J23" i="17"/>
  <c r="I23" i="17"/>
  <c r="Q80" i="17"/>
  <c r="R80" i="17" s="1"/>
  <c r="K80" i="17"/>
  <c r="L80" i="17" s="1"/>
  <c r="J80" i="17"/>
  <c r="I80" i="17"/>
  <c r="Q59" i="17"/>
  <c r="R59" i="17" s="1"/>
  <c r="K59" i="17"/>
  <c r="L59" i="17" s="1"/>
  <c r="J59" i="17"/>
  <c r="I59" i="17"/>
  <c r="Q8" i="17"/>
  <c r="R8" i="17" s="1"/>
  <c r="K8" i="17"/>
  <c r="L8" i="17" s="1"/>
  <c r="J8" i="17"/>
  <c r="I8" i="17"/>
  <c r="Q71" i="17"/>
  <c r="R71" i="17" s="1"/>
  <c r="K71" i="17"/>
  <c r="L71" i="17" s="1"/>
  <c r="J71" i="17"/>
  <c r="I71" i="17"/>
  <c r="Q19" i="17"/>
  <c r="R19" i="17" s="1"/>
  <c r="K19" i="17"/>
  <c r="L19" i="17" s="1"/>
  <c r="J19" i="17"/>
  <c r="I19" i="17"/>
  <c r="Q12" i="17"/>
  <c r="R12" i="17" s="1"/>
  <c r="K12" i="17"/>
  <c r="L12" i="17" s="1"/>
  <c r="J12" i="17"/>
  <c r="I12" i="17"/>
  <c r="Q2" i="17"/>
  <c r="R2" i="17" s="1"/>
  <c r="K2" i="17"/>
  <c r="L2" i="17" s="1"/>
  <c r="J2" i="17"/>
  <c r="I2" i="17"/>
  <c r="Q33" i="17"/>
  <c r="R33" i="17" s="1"/>
  <c r="K33" i="17"/>
  <c r="L33" i="17" s="1"/>
  <c r="J33" i="17"/>
  <c r="I33" i="17"/>
  <c r="Q77" i="17"/>
  <c r="R77" i="17" s="1"/>
  <c r="K77" i="17"/>
  <c r="L77" i="17" s="1"/>
  <c r="J77" i="17"/>
  <c r="I77" i="17"/>
  <c r="Q5" i="17"/>
  <c r="R5" i="17" s="1"/>
  <c r="K5" i="17"/>
  <c r="L5" i="17" s="1"/>
  <c r="J5" i="17"/>
  <c r="I5" i="17"/>
  <c r="Q91" i="17"/>
  <c r="R91" i="17" s="1"/>
  <c r="K91" i="17"/>
  <c r="L91" i="17" s="1"/>
  <c r="J91" i="17"/>
  <c r="I91" i="17"/>
  <c r="Q98" i="17"/>
  <c r="R98" i="17" s="1"/>
  <c r="K98" i="17"/>
  <c r="L98" i="17" s="1"/>
  <c r="J98" i="17"/>
  <c r="I98" i="17"/>
  <c r="Q65" i="17"/>
  <c r="R65" i="17" s="1"/>
  <c r="K65" i="17"/>
  <c r="L65" i="17" s="1"/>
  <c r="J65" i="17"/>
  <c r="I65" i="17"/>
  <c r="Q35" i="17"/>
  <c r="R35" i="17" s="1"/>
  <c r="K35" i="17"/>
  <c r="L35" i="17" s="1"/>
  <c r="J35" i="17"/>
  <c r="I35" i="17"/>
  <c r="Q75" i="17"/>
  <c r="R75" i="17" s="1"/>
  <c r="K75" i="17"/>
  <c r="L75" i="17" s="1"/>
  <c r="J75" i="17"/>
  <c r="I75" i="17"/>
  <c r="Q38" i="17"/>
  <c r="R38" i="17" s="1"/>
  <c r="K38" i="17"/>
  <c r="L38" i="17" s="1"/>
  <c r="J38" i="17"/>
  <c r="I38" i="17"/>
  <c r="Q101" i="17"/>
  <c r="R101" i="17" s="1"/>
  <c r="K101" i="17"/>
  <c r="L101" i="17" s="1"/>
  <c r="J101" i="17"/>
  <c r="I101" i="17"/>
  <c r="Q27" i="17"/>
  <c r="R27" i="17" s="1"/>
  <c r="K27" i="17"/>
  <c r="L27" i="17" s="1"/>
  <c r="J27" i="17"/>
  <c r="I27" i="17"/>
  <c r="Q64" i="17"/>
  <c r="R64" i="17" s="1"/>
  <c r="K64" i="17"/>
  <c r="L64" i="17" s="1"/>
  <c r="J64" i="17"/>
  <c r="I64" i="17"/>
  <c r="Q90" i="17"/>
  <c r="R90" i="17" s="1"/>
  <c r="K90" i="17"/>
  <c r="L90" i="17" s="1"/>
  <c r="J90" i="17"/>
  <c r="I90" i="17"/>
  <c r="Q67" i="17"/>
  <c r="R67" i="17" s="1"/>
  <c r="K67" i="17"/>
  <c r="L67" i="17" s="1"/>
  <c r="J67" i="17"/>
  <c r="I67" i="17"/>
  <c r="Q30" i="17"/>
  <c r="R30" i="17" s="1"/>
  <c r="K30" i="17"/>
  <c r="L30" i="17" s="1"/>
  <c r="J30" i="17"/>
  <c r="I30" i="17"/>
  <c r="Q82" i="17"/>
  <c r="R82" i="17" s="1"/>
  <c r="K82" i="17"/>
  <c r="L82" i="17" s="1"/>
  <c r="J82" i="17"/>
  <c r="I82" i="17"/>
  <c r="Q53" i="17"/>
  <c r="R53" i="17" s="1"/>
  <c r="K53" i="17"/>
  <c r="L53" i="17" s="1"/>
  <c r="J53" i="17"/>
  <c r="I53" i="17"/>
  <c r="Q6" i="17"/>
  <c r="R6" i="17" s="1"/>
  <c r="K6" i="17"/>
  <c r="L6" i="17" s="1"/>
  <c r="J6" i="17"/>
  <c r="I6" i="17"/>
  <c r="Q92" i="17"/>
  <c r="R92" i="17" s="1"/>
  <c r="K92" i="17"/>
  <c r="L92" i="17" s="1"/>
  <c r="J92" i="17"/>
  <c r="I92" i="17"/>
  <c r="Q78" i="17"/>
  <c r="R78" i="17" s="1"/>
  <c r="K78" i="17"/>
  <c r="L78" i="17" s="1"/>
  <c r="J78" i="17"/>
  <c r="I78" i="17"/>
  <c r="Q50" i="17"/>
  <c r="R50" i="17" s="1"/>
  <c r="K50" i="17"/>
  <c r="L50" i="17" s="1"/>
  <c r="J50" i="17"/>
  <c r="I50" i="17"/>
  <c r="Q4" i="17"/>
  <c r="R4" i="17" s="1"/>
  <c r="K4" i="17"/>
  <c r="L4" i="17" s="1"/>
  <c r="J4" i="17"/>
  <c r="I4" i="17"/>
  <c r="Q84" i="17"/>
  <c r="R84" i="17" s="1"/>
  <c r="K84" i="17"/>
  <c r="L84" i="17" s="1"/>
  <c r="J84" i="17"/>
  <c r="I84" i="17"/>
  <c r="Q100" i="17"/>
  <c r="R100" i="17" s="1"/>
  <c r="K100" i="17"/>
  <c r="L100" i="17" s="1"/>
  <c r="J100" i="17"/>
  <c r="I100" i="17"/>
  <c r="Q48" i="17"/>
  <c r="R48" i="17" s="1"/>
  <c r="K48" i="17"/>
  <c r="L48" i="17" s="1"/>
  <c r="J48" i="17"/>
  <c r="I48" i="17"/>
  <c r="Q63" i="17"/>
  <c r="R63" i="17" s="1"/>
  <c r="K63" i="17"/>
  <c r="L63" i="17" s="1"/>
  <c r="J63" i="17"/>
  <c r="I63" i="17"/>
  <c r="Q10" i="17"/>
  <c r="R10" i="17" s="1"/>
  <c r="K10" i="17"/>
  <c r="L10" i="17" s="1"/>
  <c r="J10" i="17"/>
  <c r="I10" i="17"/>
  <c r="Q79" i="17"/>
  <c r="R79" i="17" s="1"/>
  <c r="K79" i="17"/>
  <c r="L79" i="17" s="1"/>
  <c r="J79" i="17"/>
  <c r="I79" i="17"/>
  <c r="Q40" i="17"/>
  <c r="R40" i="17" s="1"/>
  <c r="K40" i="17"/>
  <c r="L40" i="17" s="1"/>
  <c r="J40" i="17"/>
  <c r="I40" i="17"/>
  <c r="Q49" i="17"/>
  <c r="R49" i="17" s="1"/>
  <c r="K49" i="17"/>
  <c r="L49" i="17" s="1"/>
  <c r="J49" i="17"/>
  <c r="I49" i="17"/>
  <c r="Q47" i="17"/>
  <c r="R47" i="17" s="1"/>
  <c r="K47" i="17"/>
  <c r="L47" i="17" s="1"/>
  <c r="J47" i="17"/>
  <c r="I47" i="17"/>
  <c r="Q25" i="17"/>
  <c r="R25" i="17" s="1"/>
  <c r="K25" i="17"/>
  <c r="L25" i="17" s="1"/>
  <c r="J25" i="17"/>
  <c r="I25" i="17"/>
  <c r="Q88" i="17"/>
  <c r="R88" i="17" s="1"/>
  <c r="K88" i="17"/>
  <c r="L88" i="17" s="1"/>
  <c r="J88" i="17"/>
  <c r="I88" i="17"/>
  <c r="Q83" i="17"/>
  <c r="R83" i="17" s="1"/>
  <c r="K83" i="17"/>
  <c r="L83" i="17" s="1"/>
  <c r="J83" i="17"/>
  <c r="I83" i="17"/>
  <c r="Q61" i="17"/>
  <c r="R61" i="17" s="1"/>
  <c r="K61" i="17"/>
  <c r="L61" i="17" s="1"/>
  <c r="J61" i="17"/>
  <c r="I61" i="17"/>
  <c r="Q70" i="17"/>
  <c r="R70" i="17" s="1"/>
  <c r="K70" i="17"/>
  <c r="L70" i="17" s="1"/>
  <c r="J70" i="17"/>
  <c r="I70" i="17"/>
  <c r="Q72" i="17"/>
  <c r="R72" i="17" s="1"/>
  <c r="K72" i="17"/>
  <c r="L72" i="17" s="1"/>
  <c r="J72" i="17"/>
  <c r="I72" i="17"/>
  <c r="Q15" i="17"/>
  <c r="R15" i="17" s="1"/>
  <c r="K15" i="17"/>
  <c r="L15" i="17" s="1"/>
  <c r="J15" i="17"/>
  <c r="I15" i="17"/>
  <c r="Q97" i="17"/>
  <c r="R97" i="17" s="1"/>
  <c r="K97" i="17"/>
  <c r="L97" i="17" s="1"/>
  <c r="J97" i="17"/>
  <c r="I97" i="17"/>
  <c r="Q54" i="17"/>
  <c r="R54" i="17" s="1"/>
  <c r="K54" i="17"/>
  <c r="L54" i="17" s="1"/>
  <c r="J54" i="17"/>
  <c r="I54" i="17"/>
  <c r="Q95" i="17"/>
  <c r="R95" i="17" s="1"/>
  <c r="K95" i="17"/>
  <c r="L95" i="17" s="1"/>
  <c r="J95" i="17"/>
  <c r="I95" i="17"/>
  <c r="Q24" i="17"/>
  <c r="R24" i="17" s="1"/>
  <c r="K24" i="17"/>
  <c r="L24" i="17" s="1"/>
  <c r="J24" i="17"/>
  <c r="I24" i="17"/>
  <c r="Q13" i="17"/>
  <c r="R13" i="17" s="1"/>
  <c r="K13" i="17"/>
  <c r="L13" i="17" s="1"/>
  <c r="J13" i="17"/>
  <c r="I13" i="17"/>
  <c r="Q60" i="17"/>
  <c r="R60" i="17" s="1"/>
  <c r="K60" i="17"/>
  <c r="L60" i="17" s="1"/>
  <c r="J60" i="17"/>
  <c r="I60" i="17"/>
  <c r="Q46" i="17"/>
  <c r="R46" i="17" s="1"/>
  <c r="K46" i="17"/>
  <c r="L46" i="17" s="1"/>
  <c r="J46" i="17"/>
  <c r="I46" i="17"/>
  <c r="Q21" i="17"/>
  <c r="R21" i="17" s="1"/>
  <c r="K21" i="17"/>
  <c r="L21" i="17" s="1"/>
  <c r="J21" i="17"/>
  <c r="I21" i="17"/>
  <c r="Q34" i="17"/>
  <c r="R34" i="17" s="1"/>
  <c r="K34" i="17"/>
  <c r="L34" i="17" s="1"/>
  <c r="J34" i="17"/>
  <c r="I34" i="17"/>
  <c r="Q42" i="17"/>
  <c r="R42" i="17" s="1"/>
  <c r="K42" i="17"/>
  <c r="L42" i="17" s="1"/>
  <c r="J42" i="17"/>
  <c r="I42" i="17"/>
  <c r="Q43" i="17"/>
  <c r="R43" i="17" s="1"/>
  <c r="K43" i="17"/>
  <c r="L43" i="17" s="1"/>
  <c r="J43" i="17"/>
  <c r="I43" i="17"/>
  <c r="Q20" i="17"/>
  <c r="R20" i="17" s="1"/>
  <c r="K20" i="17"/>
  <c r="L20" i="17" s="1"/>
  <c r="J20" i="17"/>
  <c r="I20" i="17"/>
  <c r="Q56" i="17"/>
  <c r="R56" i="17" s="1"/>
  <c r="K56" i="17"/>
  <c r="L56" i="17" s="1"/>
  <c r="J56" i="17"/>
  <c r="I56" i="17"/>
  <c r="Q94" i="17"/>
  <c r="R94" i="17" s="1"/>
  <c r="K94" i="17"/>
  <c r="L94" i="17" s="1"/>
  <c r="J94" i="17"/>
  <c r="I94" i="17"/>
  <c r="Q17" i="17"/>
  <c r="R17" i="17" s="1"/>
  <c r="K17" i="17"/>
  <c r="L17" i="17" s="1"/>
  <c r="J17" i="17"/>
  <c r="I17" i="17"/>
  <c r="Q86" i="17"/>
  <c r="R86" i="17" s="1"/>
  <c r="K86" i="17"/>
  <c r="L86" i="17" s="1"/>
  <c r="J86" i="17"/>
  <c r="I86" i="17"/>
  <c r="Q31" i="17"/>
  <c r="R31" i="17" s="1"/>
  <c r="K31" i="17"/>
  <c r="L31" i="17" s="1"/>
  <c r="J31" i="17"/>
  <c r="I31" i="17"/>
  <c r="Q29" i="17"/>
  <c r="R29" i="17" s="1"/>
  <c r="K29" i="17"/>
  <c r="L29" i="17" s="1"/>
  <c r="J29" i="17"/>
  <c r="I29" i="17"/>
  <c r="Q93" i="17"/>
  <c r="R93" i="17" s="1"/>
  <c r="K93" i="17"/>
  <c r="L93" i="17" s="1"/>
  <c r="J93" i="17"/>
  <c r="I93" i="17"/>
  <c r="Q85" i="17"/>
  <c r="R85" i="17" s="1"/>
  <c r="K85" i="17"/>
  <c r="L85" i="17" s="1"/>
  <c r="J85" i="17"/>
  <c r="I85" i="17"/>
  <c r="Q26" i="17"/>
  <c r="R26" i="17" s="1"/>
  <c r="K26" i="17"/>
  <c r="L26" i="17" s="1"/>
  <c r="J26" i="17"/>
  <c r="I26" i="17"/>
  <c r="Q37" i="17"/>
  <c r="R37" i="17" s="1"/>
  <c r="K37" i="17"/>
  <c r="L37" i="17" s="1"/>
  <c r="J37" i="17"/>
  <c r="I37" i="17"/>
  <c r="Q7" i="17"/>
  <c r="R7" i="17" s="1"/>
  <c r="K7" i="17"/>
  <c r="L7" i="17" s="1"/>
  <c r="J7" i="17"/>
  <c r="I7" i="17"/>
  <c r="Q32" i="17"/>
  <c r="R32" i="17" s="1"/>
  <c r="K32" i="17"/>
  <c r="L32" i="17" s="1"/>
  <c r="J32" i="17"/>
  <c r="I32" i="17"/>
  <c r="Q45" i="17"/>
  <c r="R45" i="17" s="1"/>
  <c r="K45" i="17"/>
  <c r="L45" i="17" s="1"/>
  <c r="J45" i="17"/>
  <c r="I45" i="17"/>
  <c r="Q55" i="17"/>
  <c r="R55" i="17" s="1"/>
  <c r="K55" i="17"/>
  <c r="L55" i="17" s="1"/>
  <c r="J55" i="17"/>
  <c r="I55" i="17"/>
  <c r="Q89" i="17"/>
  <c r="R89" i="17" s="1"/>
  <c r="K89" i="17"/>
  <c r="L89" i="17" s="1"/>
  <c r="J89" i="17"/>
  <c r="I89" i="17"/>
  <c r="Q39" i="17"/>
  <c r="R39" i="17" s="1"/>
  <c r="K39" i="17"/>
  <c r="L39" i="17" s="1"/>
  <c r="J39" i="17"/>
  <c r="I39" i="17"/>
  <c r="Q81" i="17"/>
  <c r="R81" i="17" s="1"/>
  <c r="K81" i="17"/>
  <c r="L81" i="17" s="1"/>
  <c r="J81" i="17"/>
  <c r="I81" i="17"/>
  <c r="Q52" i="17"/>
  <c r="R52" i="17" s="1"/>
  <c r="K52" i="17"/>
  <c r="L52" i="17" s="1"/>
  <c r="J52" i="17"/>
  <c r="I52" i="17"/>
  <c r="Q69" i="17"/>
  <c r="R69" i="17" s="1"/>
  <c r="K69" i="17"/>
  <c r="L69" i="17" s="1"/>
  <c r="J69" i="17"/>
  <c r="I69" i="17"/>
  <c r="Q41" i="17"/>
  <c r="R41" i="17" s="1"/>
  <c r="K41" i="17"/>
  <c r="L41" i="17" s="1"/>
  <c r="J41" i="17"/>
  <c r="I41" i="17"/>
  <c r="Q99" i="17"/>
  <c r="R99" i="17" s="1"/>
  <c r="K99" i="17"/>
  <c r="L99" i="17" s="1"/>
  <c r="J99" i="17"/>
  <c r="I99" i="17"/>
  <c r="Q73" i="17"/>
  <c r="R73" i="17" s="1"/>
  <c r="K73" i="17"/>
  <c r="L73" i="17" s="1"/>
  <c r="J73" i="17"/>
  <c r="I73" i="17"/>
  <c r="Q36" i="17"/>
  <c r="R36" i="17" s="1"/>
  <c r="K36" i="17"/>
  <c r="L36" i="17" s="1"/>
  <c r="J36" i="17"/>
  <c r="I36" i="17"/>
  <c r="Q66" i="8" l="1"/>
  <c r="R66" i="8" s="1"/>
  <c r="K66" i="8"/>
  <c r="L66" i="8" s="1"/>
  <c r="J66" i="8"/>
  <c r="I66" i="8"/>
  <c r="Q62" i="8"/>
  <c r="R62" i="8" s="1"/>
  <c r="K62" i="8"/>
  <c r="L62" i="8" s="1"/>
  <c r="J62" i="8"/>
  <c r="I62" i="8"/>
  <c r="Q22" i="8"/>
  <c r="R22" i="8" s="1"/>
  <c r="K22" i="8"/>
  <c r="L22" i="8" s="1"/>
  <c r="J22" i="8"/>
  <c r="I22" i="8"/>
  <c r="Q57" i="8"/>
  <c r="R57" i="8" s="1"/>
  <c r="K57" i="8"/>
  <c r="L57" i="8" s="1"/>
  <c r="J57" i="8"/>
  <c r="I57" i="8"/>
  <c r="Q16" i="8"/>
  <c r="R16" i="8" s="1"/>
  <c r="K16" i="8"/>
  <c r="L16" i="8" s="1"/>
  <c r="J16" i="8"/>
  <c r="I16" i="8"/>
  <c r="Q76" i="8"/>
  <c r="R76" i="8" s="1"/>
  <c r="K76" i="8"/>
  <c r="L76" i="8" s="1"/>
  <c r="J76" i="8"/>
  <c r="I76" i="8"/>
  <c r="Q28" i="8"/>
  <c r="R28" i="8" s="1"/>
  <c r="K28" i="8"/>
  <c r="L28" i="8" s="1"/>
  <c r="J28" i="8"/>
  <c r="I28" i="8"/>
  <c r="Q87" i="8"/>
  <c r="R87" i="8" s="1"/>
  <c r="K87" i="8"/>
  <c r="L87" i="8" s="1"/>
  <c r="J87" i="8"/>
  <c r="I87" i="8"/>
  <c r="Q68" i="8"/>
  <c r="R68" i="8" s="1"/>
  <c r="K68" i="8"/>
  <c r="L68" i="8" s="1"/>
  <c r="J68" i="8"/>
  <c r="I68" i="8"/>
  <c r="Q51" i="8"/>
  <c r="R51" i="8" s="1"/>
  <c r="K51" i="8"/>
  <c r="L51" i="8" s="1"/>
  <c r="J51" i="8"/>
  <c r="I51" i="8"/>
  <c r="Q74" i="8"/>
  <c r="R74" i="8" s="1"/>
  <c r="K74" i="8"/>
  <c r="L74" i="8" s="1"/>
  <c r="J74" i="8"/>
  <c r="I74" i="8"/>
  <c r="Q58" i="8"/>
  <c r="R58" i="8" s="1"/>
  <c r="K58" i="8"/>
  <c r="L58" i="8" s="1"/>
  <c r="J58" i="8"/>
  <c r="I58" i="8"/>
  <c r="Q18" i="8"/>
  <c r="R18" i="8" s="1"/>
  <c r="K18" i="8"/>
  <c r="L18" i="8" s="1"/>
  <c r="J18" i="8"/>
  <c r="I18" i="8"/>
  <c r="Q11" i="8"/>
  <c r="R11" i="8" s="1"/>
  <c r="K11" i="8"/>
  <c r="L11" i="8" s="1"/>
  <c r="J11" i="8"/>
  <c r="I11" i="8"/>
  <c r="Q44" i="8"/>
  <c r="R44" i="8" s="1"/>
  <c r="K44" i="8"/>
  <c r="L44" i="8" s="1"/>
  <c r="J44" i="8"/>
  <c r="I44" i="8"/>
  <c r="Q9" i="8"/>
  <c r="R9" i="8" s="1"/>
  <c r="K9" i="8"/>
  <c r="L9" i="8" s="1"/>
  <c r="J9" i="8"/>
  <c r="I9" i="8"/>
  <c r="Q3" i="8"/>
  <c r="R3" i="8" s="1"/>
  <c r="K3" i="8"/>
  <c r="L3" i="8" s="1"/>
  <c r="J3" i="8"/>
  <c r="I3" i="8"/>
  <c r="Q14" i="8"/>
  <c r="R14" i="8" s="1"/>
  <c r="K14" i="8"/>
  <c r="L14" i="8" s="1"/>
  <c r="J14" i="8"/>
  <c r="I14" i="8"/>
  <c r="Q96" i="8"/>
  <c r="R96" i="8" s="1"/>
  <c r="K96" i="8"/>
  <c r="L96" i="8" s="1"/>
  <c r="J96" i="8"/>
  <c r="I96" i="8"/>
  <c r="Q23" i="8"/>
  <c r="R23" i="8" s="1"/>
  <c r="K23" i="8"/>
  <c r="L23" i="8" s="1"/>
  <c r="J23" i="8"/>
  <c r="I23" i="8"/>
  <c r="Q80" i="8"/>
  <c r="R80" i="8" s="1"/>
  <c r="K80" i="8"/>
  <c r="L80" i="8" s="1"/>
  <c r="J80" i="8"/>
  <c r="I80" i="8"/>
  <c r="Q59" i="8"/>
  <c r="R59" i="8" s="1"/>
  <c r="K59" i="8"/>
  <c r="L59" i="8" s="1"/>
  <c r="J59" i="8"/>
  <c r="I59" i="8"/>
  <c r="Q8" i="8"/>
  <c r="R8" i="8" s="1"/>
  <c r="K8" i="8"/>
  <c r="L8" i="8" s="1"/>
  <c r="J8" i="8"/>
  <c r="I8" i="8"/>
  <c r="Q71" i="8"/>
  <c r="R71" i="8" s="1"/>
  <c r="K71" i="8"/>
  <c r="L71" i="8" s="1"/>
  <c r="J71" i="8"/>
  <c r="I71" i="8"/>
  <c r="Q19" i="8"/>
  <c r="R19" i="8" s="1"/>
  <c r="K19" i="8"/>
  <c r="L19" i="8" s="1"/>
  <c r="J19" i="8"/>
  <c r="I19" i="8"/>
  <c r="Q12" i="8"/>
  <c r="R12" i="8" s="1"/>
  <c r="K12" i="8"/>
  <c r="L12" i="8" s="1"/>
  <c r="J12" i="8"/>
  <c r="I12" i="8"/>
  <c r="Q2" i="8"/>
  <c r="R2" i="8" s="1"/>
  <c r="K2" i="8"/>
  <c r="L2" i="8" s="1"/>
  <c r="J2" i="8"/>
  <c r="I2" i="8"/>
  <c r="Q33" i="8"/>
  <c r="R33" i="8" s="1"/>
  <c r="K33" i="8"/>
  <c r="L33" i="8" s="1"/>
  <c r="J33" i="8"/>
  <c r="I33" i="8"/>
  <c r="Q77" i="8"/>
  <c r="R77" i="8" s="1"/>
  <c r="K77" i="8"/>
  <c r="L77" i="8" s="1"/>
  <c r="J77" i="8"/>
  <c r="I77" i="8"/>
  <c r="Q5" i="8"/>
  <c r="R5" i="8" s="1"/>
  <c r="K5" i="8"/>
  <c r="L5" i="8" s="1"/>
  <c r="J5" i="8"/>
  <c r="I5" i="8"/>
  <c r="Q91" i="8"/>
  <c r="R91" i="8" s="1"/>
  <c r="K91" i="8"/>
  <c r="L91" i="8" s="1"/>
  <c r="J91" i="8"/>
  <c r="I91" i="8"/>
  <c r="Q98" i="8"/>
  <c r="R98" i="8" s="1"/>
  <c r="K98" i="8"/>
  <c r="L98" i="8" s="1"/>
  <c r="J98" i="8"/>
  <c r="I98" i="8"/>
  <c r="Q65" i="8"/>
  <c r="R65" i="8" s="1"/>
  <c r="K65" i="8"/>
  <c r="L65" i="8" s="1"/>
  <c r="J65" i="8"/>
  <c r="I65" i="8"/>
  <c r="Q35" i="8"/>
  <c r="R35" i="8" s="1"/>
  <c r="K35" i="8"/>
  <c r="L35" i="8" s="1"/>
  <c r="J35" i="8"/>
  <c r="I35" i="8"/>
  <c r="Q75" i="8"/>
  <c r="R75" i="8" s="1"/>
  <c r="K75" i="8"/>
  <c r="L75" i="8" s="1"/>
  <c r="J75" i="8"/>
  <c r="I75" i="8"/>
  <c r="Q38" i="8"/>
  <c r="R38" i="8" s="1"/>
  <c r="K38" i="8"/>
  <c r="L38" i="8" s="1"/>
  <c r="J38" i="8"/>
  <c r="I38" i="8"/>
  <c r="Q101" i="8"/>
  <c r="R101" i="8" s="1"/>
  <c r="K101" i="8"/>
  <c r="L101" i="8" s="1"/>
  <c r="J101" i="8"/>
  <c r="I101" i="8"/>
  <c r="Q27" i="8"/>
  <c r="R27" i="8" s="1"/>
  <c r="K27" i="8"/>
  <c r="L27" i="8" s="1"/>
  <c r="J27" i="8"/>
  <c r="I27" i="8"/>
  <c r="Q64" i="8"/>
  <c r="R64" i="8" s="1"/>
  <c r="K64" i="8"/>
  <c r="L64" i="8" s="1"/>
  <c r="J64" i="8"/>
  <c r="I64" i="8"/>
  <c r="Q90" i="8"/>
  <c r="R90" i="8" s="1"/>
  <c r="K90" i="8"/>
  <c r="L90" i="8" s="1"/>
  <c r="J90" i="8"/>
  <c r="I90" i="8"/>
  <c r="Q67" i="8"/>
  <c r="R67" i="8" s="1"/>
  <c r="K67" i="8"/>
  <c r="L67" i="8" s="1"/>
  <c r="J67" i="8"/>
  <c r="I67" i="8"/>
  <c r="Q30" i="8"/>
  <c r="R30" i="8" s="1"/>
  <c r="K30" i="8"/>
  <c r="L30" i="8" s="1"/>
  <c r="J30" i="8"/>
  <c r="I30" i="8"/>
  <c r="Q82" i="8"/>
  <c r="R82" i="8" s="1"/>
  <c r="K82" i="8"/>
  <c r="L82" i="8" s="1"/>
  <c r="J82" i="8"/>
  <c r="I82" i="8"/>
  <c r="Q53" i="8"/>
  <c r="R53" i="8" s="1"/>
  <c r="K53" i="8"/>
  <c r="L53" i="8" s="1"/>
  <c r="J53" i="8"/>
  <c r="I53" i="8"/>
  <c r="Q6" i="8"/>
  <c r="R6" i="8" s="1"/>
  <c r="K6" i="8"/>
  <c r="L6" i="8" s="1"/>
  <c r="J6" i="8"/>
  <c r="I6" i="8"/>
  <c r="Q92" i="8"/>
  <c r="R92" i="8" s="1"/>
  <c r="K92" i="8"/>
  <c r="L92" i="8" s="1"/>
  <c r="J92" i="8"/>
  <c r="I92" i="8"/>
  <c r="Q78" i="8"/>
  <c r="R78" i="8" s="1"/>
  <c r="K78" i="8"/>
  <c r="L78" i="8" s="1"/>
  <c r="J78" i="8"/>
  <c r="I78" i="8"/>
  <c r="Q50" i="8"/>
  <c r="R50" i="8" s="1"/>
  <c r="K50" i="8"/>
  <c r="L50" i="8" s="1"/>
  <c r="J50" i="8"/>
  <c r="I50" i="8"/>
  <c r="Q4" i="8"/>
  <c r="R4" i="8" s="1"/>
  <c r="K4" i="8"/>
  <c r="L4" i="8" s="1"/>
  <c r="J4" i="8"/>
  <c r="I4" i="8"/>
  <c r="Q84" i="8"/>
  <c r="R84" i="8" s="1"/>
  <c r="K84" i="8"/>
  <c r="L84" i="8" s="1"/>
  <c r="J84" i="8"/>
  <c r="I84" i="8"/>
  <c r="Q100" i="8"/>
  <c r="R100" i="8" s="1"/>
  <c r="K100" i="8"/>
  <c r="L100" i="8" s="1"/>
  <c r="J100" i="8"/>
  <c r="I100" i="8"/>
  <c r="Q48" i="8"/>
  <c r="R48" i="8" s="1"/>
  <c r="K48" i="8"/>
  <c r="L48" i="8" s="1"/>
  <c r="J48" i="8"/>
  <c r="I48" i="8"/>
  <c r="Q63" i="8"/>
  <c r="R63" i="8" s="1"/>
  <c r="K63" i="8"/>
  <c r="L63" i="8" s="1"/>
  <c r="J63" i="8"/>
  <c r="I63" i="8"/>
  <c r="Q10" i="8"/>
  <c r="R10" i="8" s="1"/>
  <c r="K10" i="8"/>
  <c r="L10" i="8" s="1"/>
  <c r="J10" i="8"/>
  <c r="I10" i="8"/>
  <c r="Q79" i="8"/>
  <c r="R79" i="8" s="1"/>
  <c r="K79" i="8"/>
  <c r="L79" i="8" s="1"/>
  <c r="J79" i="8"/>
  <c r="I79" i="8"/>
  <c r="Q40" i="8"/>
  <c r="R40" i="8" s="1"/>
  <c r="K40" i="8"/>
  <c r="L40" i="8" s="1"/>
  <c r="J40" i="8"/>
  <c r="I40" i="8"/>
  <c r="Q49" i="8"/>
  <c r="R49" i="8" s="1"/>
  <c r="K49" i="8"/>
  <c r="L49" i="8" s="1"/>
  <c r="J49" i="8"/>
  <c r="I49" i="8"/>
  <c r="Q47" i="8"/>
  <c r="R47" i="8" s="1"/>
  <c r="K47" i="8"/>
  <c r="L47" i="8" s="1"/>
  <c r="J47" i="8"/>
  <c r="I47" i="8"/>
  <c r="Q25" i="8"/>
  <c r="R25" i="8" s="1"/>
  <c r="K25" i="8"/>
  <c r="L25" i="8" s="1"/>
  <c r="J25" i="8"/>
  <c r="I25" i="8"/>
  <c r="Q88" i="8"/>
  <c r="R88" i="8" s="1"/>
  <c r="K88" i="8"/>
  <c r="L88" i="8" s="1"/>
  <c r="J88" i="8"/>
  <c r="I88" i="8"/>
  <c r="Q83" i="8"/>
  <c r="R83" i="8" s="1"/>
  <c r="K83" i="8"/>
  <c r="L83" i="8" s="1"/>
  <c r="J83" i="8"/>
  <c r="I83" i="8"/>
  <c r="Q61" i="8"/>
  <c r="R61" i="8" s="1"/>
  <c r="K61" i="8"/>
  <c r="L61" i="8" s="1"/>
  <c r="J61" i="8"/>
  <c r="I61" i="8"/>
  <c r="Q70" i="8"/>
  <c r="R70" i="8" s="1"/>
  <c r="K70" i="8"/>
  <c r="L70" i="8" s="1"/>
  <c r="J70" i="8"/>
  <c r="I70" i="8"/>
  <c r="Q72" i="8"/>
  <c r="R72" i="8" s="1"/>
  <c r="K72" i="8"/>
  <c r="L72" i="8" s="1"/>
  <c r="J72" i="8"/>
  <c r="I72" i="8"/>
  <c r="Q15" i="8"/>
  <c r="R15" i="8" s="1"/>
  <c r="K15" i="8"/>
  <c r="L15" i="8" s="1"/>
  <c r="J15" i="8"/>
  <c r="I15" i="8"/>
  <c r="Q97" i="8"/>
  <c r="R97" i="8" s="1"/>
  <c r="K97" i="8"/>
  <c r="L97" i="8" s="1"/>
  <c r="J97" i="8"/>
  <c r="I97" i="8"/>
  <c r="Q54" i="8"/>
  <c r="R54" i="8" s="1"/>
  <c r="K54" i="8"/>
  <c r="L54" i="8" s="1"/>
  <c r="J54" i="8"/>
  <c r="I54" i="8"/>
  <c r="Q95" i="8"/>
  <c r="R95" i="8" s="1"/>
  <c r="K95" i="8"/>
  <c r="L95" i="8" s="1"/>
  <c r="J95" i="8"/>
  <c r="I95" i="8"/>
  <c r="Q24" i="8"/>
  <c r="R24" i="8" s="1"/>
  <c r="K24" i="8"/>
  <c r="L24" i="8" s="1"/>
  <c r="J24" i="8"/>
  <c r="I24" i="8"/>
  <c r="Q13" i="8"/>
  <c r="R13" i="8" s="1"/>
  <c r="K13" i="8"/>
  <c r="L13" i="8" s="1"/>
  <c r="J13" i="8"/>
  <c r="I13" i="8"/>
  <c r="Q60" i="8"/>
  <c r="R60" i="8" s="1"/>
  <c r="K60" i="8"/>
  <c r="L60" i="8" s="1"/>
  <c r="J60" i="8"/>
  <c r="I60" i="8"/>
  <c r="Q46" i="8"/>
  <c r="R46" i="8" s="1"/>
  <c r="K46" i="8"/>
  <c r="L46" i="8" s="1"/>
  <c r="J46" i="8"/>
  <c r="I46" i="8"/>
  <c r="Q21" i="8"/>
  <c r="R21" i="8" s="1"/>
  <c r="K21" i="8"/>
  <c r="L21" i="8" s="1"/>
  <c r="J21" i="8"/>
  <c r="I21" i="8"/>
  <c r="Q34" i="8"/>
  <c r="R34" i="8" s="1"/>
  <c r="K34" i="8"/>
  <c r="L34" i="8" s="1"/>
  <c r="J34" i="8"/>
  <c r="I34" i="8"/>
  <c r="Q42" i="8"/>
  <c r="R42" i="8" s="1"/>
  <c r="K42" i="8"/>
  <c r="L42" i="8" s="1"/>
  <c r="J42" i="8"/>
  <c r="I42" i="8"/>
  <c r="Q43" i="8"/>
  <c r="R43" i="8" s="1"/>
  <c r="K43" i="8"/>
  <c r="L43" i="8" s="1"/>
  <c r="J43" i="8"/>
  <c r="I43" i="8"/>
  <c r="Q20" i="8"/>
  <c r="R20" i="8" s="1"/>
  <c r="K20" i="8"/>
  <c r="L20" i="8" s="1"/>
  <c r="J20" i="8"/>
  <c r="I20" i="8"/>
  <c r="Q56" i="8"/>
  <c r="R56" i="8" s="1"/>
  <c r="K56" i="8"/>
  <c r="L56" i="8" s="1"/>
  <c r="J56" i="8"/>
  <c r="I56" i="8"/>
  <c r="Q94" i="8"/>
  <c r="R94" i="8" s="1"/>
  <c r="K94" i="8"/>
  <c r="L94" i="8" s="1"/>
  <c r="J94" i="8"/>
  <c r="I94" i="8"/>
  <c r="Q17" i="8"/>
  <c r="R17" i="8" s="1"/>
  <c r="K17" i="8"/>
  <c r="L17" i="8" s="1"/>
  <c r="J17" i="8"/>
  <c r="I17" i="8"/>
  <c r="Q86" i="8"/>
  <c r="R86" i="8" s="1"/>
  <c r="K86" i="8"/>
  <c r="L86" i="8" s="1"/>
  <c r="J86" i="8"/>
  <c r="I86" i="8"/>
  <c r="Q31" i="8"/>
  <c r="R31" i="8" s="1"/>
  <c r="K31" i="8"/>
  <c r="L31" i="8" s="1"/>
  <c r="J31" i="8"/>
  <c r="I31" i="8"/>
  <c r="Q29" i="8"/>
  <c r="R29" i="8" s="1"/>
  <c r="K29" i="8"/>
  <c r="L29" i="8" s="1"/>
  <c r="J29" i="8"/>
  <c r="I29" i="8"/>
  <c r="Q93" i="8"/>
  <c r="R93" i="8" s="1"/>
  <c r="K93" i="8"/>
  <c r="L93" i="8" s="1"/>
  <c r="J93" i="8"/>
  <c r="I93" i="8"/>
  <c r="Q85" i="8"/>
  <c r="R85" i="8" s="1"/>
  <c r="K85" i="8"/>
  <c r="L85" i="8" s="1"/>
  <c r="J85" i="8"/>
  <c r="I85" i="8"/>
  <c r="Q26" i="8"/>
  <c r="R26" i="8" s="1"/>
  <c r="K26" i="8"/>
  <c r="L26" i="8" s="1"/>
  <c r="J26" i="8"/>
  <c r="I26" i="8"/>
  <c r="Q37" i="8"/>
  <c r="R37" i="8" s="1"/>
  <c r="K37" i="8"/>
  <c r="L37" i="8" s="1"/>
  <c r="J37" i="8"/>
  <c r="I37" i="8"/>
  <c r="Q7" i="8"/>
  <c r="R7" i="8" s="1"/>
  <c r="K7" i="8"/>
  <c r="L7" i="8" s="1"/>
  <c r="J7" i="8"/>
  <c r="I7" i="8"/>
  <c r="Q32" i="8"/>
  <c r="R32" i="8" s="1"/>
  <c r="K32" i="8"/>
  <c r="L32" i="8" s="1"/>
  <c r="J32" i="8"/>
  <c r="I32" i="8"/>
  <c r="Q45" i="8"/>
  <c r="R45" i="8" s="1"/>
  <c r="K45" i="8"/>
  <c r="L45" i="8" s="1"/>
  <c r="J45" i="8"/>
  <c r="I45" i="8"/>
  <c r="Q55" i="8"/>
  <c r="R55" i="8" s="1"/>
  <c r="K55" i="8"/>
  <c r="L55" i="8" s="1"/>
  <c r="J55" i="8"/>
  <c r="I55" i="8"/>
  <c r="Q89" i="8"/>
  <c r="R89" i="8" s="1"/>
  <c r="K89" i="8"/>
  <c r="L89" i="8" s="1"/>
  <c r="J89" i="8"/>
  <c r="I89" i="8"/>
  <c r="Q39" i="8"/>
  <c r="R39" i="8" s="1"/>
  <c r="K39" i="8"/>
  <c r="L39" i="8" s="1"/>
  <c r="J39" i="8"/>
  <c r="I39" i="8"/>
  <c r="Q81" i="8"/>
  <c r="R81" i="8" s="1"/>
  <c r="K81" i="8"/>
  <c r="L81" i="8" s="1"/>
  <c r="J81" i="8"/>
  <c r="I81" i="8"/>
  <c r="Q52" i="8"/>
  <c r="R52" i="8" s="1"/>
  <c r="K52" i="8"/>
  <c r="L52" i="8" s="1"/>
  <c r="J52" i="8"/>
  <c r="I52" i="8"/>
  <c r="Q69" i="8"/>
  <c r="R69" i="8" s="1"/>
  <c r="K69" i="8"/>
  <c r="L69" i="8" s="1"/>
  <c r="J69" i="8"/>
  <c r="I69" i="8"/>
  <c r="Q41" i="8"/>
  <c r="R41" i="8" s="1"/>
  <c r="K41" i="8"/>
  <c r="L41" i="8" s="1"/>
  <c r="J41" i="8"/>
  <c r="I41" i="8"/>
  <c r="Q99" i="8"/>
  <c r="R99" i="8" s="1"/>
  <c r="K99" i="8"/>
  <c r="L99" i="8" s="1"/>
  <c r="J99" i="8"/>
  <c r="I99" i="8"/>
  <c r="Q73" i="8"/>
  <c r="R73" i="8" s="1"/>
  <c r="K73" i="8"/>
  <c r="L73" i="8" s="1"/>
  <c r="J73" i="8"/>
  <c r="I73" i="8"/>
  <c r="Q36" i="8"/>
  <c r="R36" i="8" s="1"/>
  <c r="K36" i="8"/>
  <c r="L36" i="8" s="1"/>
  <c r="J36" i="8"/>
  <c r="I36" i="8"/>
</calcChain>
</file>

<file path=xl/sharedStrings.xml><?xml version="1.0" encoding="utf-8"?>
<sst xmlns="http://schemas.openxmlformats.org/spreadsheetml/2006/main" count="1866" uniqueCount="474">
  <si>
    <t>Titre</t>
  </si>
  <si>
    <t>Nom</t>
  </si>
  <si>
    <t>Prénom</t>
  </si>
  <si>
    <t>Adresse</t>
  </si>
  <si>
    <t>N°</t>
  </si>
  <si>
    <t>Localité</t>
  </si>
  <si>
    <t>Jour</t>
  </si>
  <si>
    <t>Mois</t>
  </si>
  <si>
    <t>Année</t>
  </si>
  <si>
    <t>Âge</t>
  </si>
  <si>
    <t>Salaire</t>
  </si>
  <si>
    <t>Situation</t>
  </si>
  <si>
    <t>Madame</t>
  </si>
  <si>
    <t>Franco</t>
  </si>
  <si>
    <t>Mélissa</t>
  </si>
  <si>
    <t>Chemin Cavussin</t>
  </si>
  <si>
    <t>Saxon</t>
  </si>
  <si>
    <t>Vierge</t>
  </si>
  <si>
    <t>Monsieur</t>
  </si>
  <si>
    <t>Mettraux</t>
  </si>
  <si>
    <t>Bryan</t>
  </si>
  <si>
    <t>Fehrenstrasse </t>
  </si>
  <si>
    <t>Sion</t>
  </si>
  <si>
    <t>Lion</t>
  </si>
  <si>
    <t>Zambelli</t>
  </si>
  <si>
    <t>Sascha</t>
  </si>
  <si>
    <t>Einsiendlestrasse</t>
  </si>
  <si>
    <t>Martigny</t>
  </si>
  <si>
    <t>Taureau</t>
  </si>
  <si>
    <t>Gerber</t>
  </si>
  <si>
    <t>Susanne</t>
  </si>
  <si>
    <t>Avenue du Général-Guisan</t>
  </si>
  <si>
    <t>Poisson</t>
  </si>
  <si>
    <t>Maradan</t>
  </si>
  <si>
    <t>Audrey</t>
  </si>
  <si>
    <t>Chemin de Montelly</t>
  </si>
  <si>
    <t>Hyseni</t>
  </si>
  <si>
    <t>Melinda</t>
  </si>
  <si>
    <t>Avenue des portes rouges</t>
  </si>
  <si>
    <t>Sierre</t>
  </si>
  <si>
    <t>Roduner</t>
  </si>
  <si>
    <t>Steffi</t>
  </si>
  <si>
    <t>Grand-rue</t>
  </si>
  <si>
    <t>Leytron</t>
  </si>
  <si>
    <t>Balance</t>
  </si>
  <si>
    <t>Fuchs</t>
  </si>
  <si>
    <t>Aurélie</t>
  </si>
  <si>
    <t>L'Argilleuse</t>
  </si>
  <si>
    <t>Bélier</t>
  </si>
  <si>
    <t>Stassi</t>
  </si>
  <si>
    <t>Anna</t>
  </si>
  <si>
    <t>Rue de l'Eglise 1</t>
  </si>
  <si>
    <t>Sagittaire</t>
  </si>
  <si>
    <t>Jern</t>
  </si>
  <si>
    <t>Johann</t>
  </si>
  <si>
    <t>Rue du clos Pierre Bise</t>
  </si>
  <si>
    <t>Fully</t>
  </si>
  <si>
    <t>Graber</t>
  </si>
  <si>
    <t>Laetitia</t>
  </si>
  <si>
    <t>ue de la Couronne</t>
  </si>
  <si>
    <t xml:space="preserve">Ferreira </t>
  </si>
  <si>
    <t>Pedro</t>
  </si>
  <si>
    <t>Rue de Bénédiction</t>
  </si>
  <si>
    <t>Vétroz</t>
  </si>
  <si>
    <t>Baudin</t>
  </si>
  <si>
    <t>Alain</t>
  </si>
  <si>
    <t>Boulevard de Lumière des Étoiles</t>
  </si>
  <si>
    <t>Riddes</t>
  </si>
  <si>
    <t>Franin</t>
  </si>
  <si>
    <t>Mélanie</t>
  </si>
  <si>
    <t>Voie des Arbres</t>
  </si>
  <si>
    <t>Dietschi</t>
  </si>
  <si>
    <t>Nina</t>
  </si>
  <si>
    <t>Chemin du Cèdre</t>
  </si>
  <si>
    <t>Capricorne</t>
  </si>
  <si>
    <t>Rüffer</t>
  </si>
  <si>
    <t>Mario</t>
  </si>
  <si>
    <t>Rue du Peuplier</t>
  </si>
  <si>
    <t xml:space="preserve">Verdon </t>
  </si>
  <si>
    <t>Quentin</t>
  </si>
  <si>
    <t>Voie de Chance</t>
  </si>
  <si>
    <t>Elser</t>
  </si>
  <si>
    <t>Vivianne</t>
  </si>
  <si>
    <t>Rue de Triomphe</t>
  </si>
  <si>
    <t>Etter</t>
  </si>
  <si>
    <t>Cristoph</t>
  </si>
  <si>
    <t>Route des Rossignols</t>
  </si>
  <si>
    <t>Scorpion</t>
  </si>
  <si>
    <t>Scagli</t>
  </si>
  <si>
    <t>Elsa</t>
  </si>
  <si>
    <t>Rue du Canal</t>
  </si>
  <si>
    <t>Carron</t>
  </si>
  <si>
    <t>Patrick</t>
  </si>
  <si>
    <t>Route du Saule</t>
  </si>
  <si>
    <t>Vesti</t>
  </si>
  <si>
    <t>Fabio</t>
  </si>
  <si>
    <t>Voie d'Espace</t>
  </si>
  <si>
    <t>Jolien</t>
  </si>
  <si>
    <t>Tom</t>
  </si>
  <si>
    <t>Rue de la Cime</t>
  </si>
  <si>
    <t>Gémeaux</t>
  </si>
  <si>
    <t>Constantin</t>
  </si>
  <si>
    <t>Nolan</t>
  </si>
  <si>
    <t>Rue de la Mer</t>
  </si>
  <si>
    <t>Glur</t>
  </si>
  <si>
    <t>Jack</t>
  </si>
  <si>
    <t>Chemin de la Fontaine</t>
  </si>
  <si>
    <t>Giulllo</t>
  </si>
  <si>
    <t>Fabiano</t>
  </si>
  <si>
    <t>Rue des Manoirs</t>
  </si>
  <si>
    <t>Flury</t>
  </si>
  <si>
    <t>Diana</t>
  </si>
  <si>
    <t>Voie de la Cloche</t>
  </si>
  <si>
    <t>Coppey</t>
  </si>
  <si>
    <t>Ralph</t>
  </si>
  <si>
    <t>Rue du Sommet</t>
  </si>
  <si>
    <t>Guyot</t>
  </si>
  <si>
    <t>Nathan</t>
  </si>
  <si>
    <t>Boulevard de la Duchesse</t>
  </si>
  <si>
    <t>Keller</t>
  </si>
  <si>
    <t>Andreas</t>
  </si>
  <si>
    <t>Boulevard du Juge</t>
  </si>
  <si>
    <t>Bruhin</t>
  </si>
  <si>
    <t>Rafael</t>
  </si>
  <si>
    <t>Route de Lumière</t>
  </si>
  <si>
    <t>Cancer</t>
  </si>
  <si>
    <t>Dellavia</t>
  </si>
  <si>
    <t>Alan</t>
  </si>
  <si>
    <t>Voie des Bijoux</t>
  </si>
  <si>
    <t>Visiu</t>
  </si>
  <si>
    <t>Omar</t>
  </si>
  <si>
    <t>Route du Prince</t>
  </si>
  <si>
    <t>Jaun</t>
  </si>
  <si>
    <t>Luca</t>
  </si>
  <si>
    <t>Rue du Juge</t>
  </si>
  <si>
    <t>Wenk</t>
  </si>
  <si>
    <t>Paul</t>
  </si>
  <si>
    <t>Route de l'Est</t>
  </si>
  <si>
    <t>Caldarone</t>
  </si>
  <si>
    <t>Jessica</t>
  </si>
  <si>
    <t>Boulevard de Théâtre</t>
  </si>
  <si>
    <t>Menzi</t>
  </si>
  <si>
    <t>Marcel</t>
  </si>
  <si>
    <t>Boulevard de la Princesse</t>
  </si>
  <si>
    <t>Mathis</t>
  </si>
  <si>
    <t>Nadine</t>
  </si>
  <si>
    <t>Rue d'Espace</t>
  </si>
  <si>
    <t>Kohler</t>
  </si>
  <si>
    <t>Isabelle</t>
  </si>
  <si>
    <t>Chemin des Biches</t>
  </si>
  <si>
    <t>Rüegger</t>
  </si>
  <si>
    <t>Roger</t>
  </si>
  <si>
    <t>Rue du Nord</t>
  </si>
  <si>
    <t>Soares</t>
  </si>
  <si>
    <t>Fernando</t>
  </si>
  <si>
    <t>Rue de la Loi</t>
  </si>
  <si>
    <t>Deyris</t>
  </si>
  <si>
    <t>Beatrice</t>
  </si>
  <si>
    <t>Rue des Trèfles</t>
  </si>
  <si>
    <t>Heim</t>
  </si>
  <si>
    <t>Roman</t>
  </si>
  <si>
    <t>Voie de la Caverne</t>
  </si>
  <si>
    <t>Hidmer</t>
  </si>
  <si>
    <t>Maya</t>
  </si>
  <si>
    <t>Route d'Automne</t>
  </si>
  <si>
    <t>Galan</t>
  </si>
  <si>
    <t>Vincent</t>
  </si>
  <si>
    <t>Boulevard de Collège</t>
  </si>
  <si>
    <t>Rey</t>
  </si>
  <si>
    <t>Thomas</t>
  </si>
  <si>
    <t>Chemin du Boulanger</t>
  </si>
  <si>
    <t>Beyeler</t>
  </si>
  <si>
    <t>Simon</t>
  </si>
  <si>
    <t>Rue d'Arctique</t>
  </si>
  <si>
    <t>Laut</t>
  </si>
  <si>
    <t>Delphine</t>
  </si>
  <si>
    <t>Rue d'Aviation</t>
  </si>
  <si>
    <t>Henninger</t>
  </si>
  <si>
    <t>Sabrina</t>
  </si>
  <si>
    <t>Rue du Colonel</t>
  </si>
  <si>
    <t>Zingler</t>
  </si>
  <si>
    <t>Route des Rosiers</t>
  </si>
  <si>
    <t>Rufer</t>
  </si>
  <si>
    <t>David</t>
  </si>
  <si>
    <t>Route du Soleil</t>
  </si>
  <si>
    <t>Arrigo</t>
  </si>
  <si>
    <t>Yves</t>
  </si>
  <si>
    <t>Voie des Saules</t>
  </si>
  <si>
    <t>Husci</t>
  </si>
  <si>
    <t>Joso</t>
  </si>
  <si>
    <t>Regini</t>
  </si>
  <si>
    <t>Denny</t>
  </si>
  <si>
    <t>Voie du Pont</t>
  </si>
  <si>
    <t>Venter</t>
  </si>
  <si>
    <t>Lindsey</t>
  </si>
  <si>
    <t>Chemin de l'Ouest</t>
  </si>
  <si>
    <t>Barras</t>
  </si>
  <si>
    <t>Marlene</t>
  </si>
  <si>
    <t>Boulevard du Pégase</t>
  </si>
  <si>
    <t>Imdorf</t>
  </si>
  <si>
    <t>Chemin du Chevalier</t>
  </si>
  <si>
    <t>Rohrer</t>
  </si>
  <si>
    <t>Cyril</t>
  </si>
  <si>
    <t>Boulevard des Plumes</t>
  </si>
  <si>
    <t>Englis</t>
  </si>
  <si>
    <t>Hans</t>
  </si>
  <si>
    <t>Rue d'Archer</t>
  </si>
  <si>
    <t>Lüthy</t>
  </si>
  <si>
    <t>Philipp</t>
  </si>
  <si>
    <t>Rue de Granit</t>
  </si>
  <si>
    <t>Verseau</t>
  </si>
  <si>
    <t xml:space="preserve">Tschumi </t>
  </si>
  <si>
    <t>Tamara</t>
  </si>
  <si>
    <t>Route des Manoirs</t>
  </si>
  <si>
    <t>Lenski</t>
  </si>
  <si>
    <t>Cornelia</t>
  </si>
  <si>
    <t>Dumas</t>
  </si>
  <si>
    <t>Caroline</t>
  </si>
  <si>
    <t>Route de Printemps</t>
  </si>
  <si>
    <t xml:space="preserve">Zucconi </t>
  </si>
  <si>
    <t>Léa</t>
  </si>
  <si>
    <t>Rue de Gravier</t>
  </si>
  <si>
    <t>Frant</t>
  </si>
  <si>
    <t>Comi</t>
  </si>
  <si>
    <t>Rue de l'Olivier</t>
  </si>
  <si>
    <t>Pennisi</t>
  </si>
  <si>
    <t>Gaia</t>
  </si>
  <si>
    <t>Rue de Répit</t>
  </si>
  <si>
    <t>Foglia</t>
  </si>
  <si>
    <t>Olivia</t>
  </si>
  <si>
    <t>Boulevard de Vermillon</t>
  </si>
  <si>
    <t>Lippuner</t>
  </si>
  <si>
    <t>Sindy</t>
  </si>
  <si>
    <t>Chemin d'Arctique</t>
  </si>
  <si>
    <t>Widmer</t>
  </si>
  <si>
    <t>Christine</t>
  </si>
  <si>
    <t>Route du Globe</t>
  </si>
  <si>
    <t>Vallon</t>
  </si>
  <si>
    <t>Cindy</t>
  </si>
  <si>
    <t>Rue de la Rivière</t>
  </si>
  <si>
    <t>Barnabas</t>
  </si>
  <si>
    <t>Kris</t>
  </si>
  <si>
    <t>Rue des Marchés</t>
  </si>
  <si>
    <t xml:space="preserve">Querido </t>
  </si>
  <si>
    <t>Cristovao</t>
  </si>
  <si>
    <t>Chemin de la Mer</t>
  </si>
  <si>
    <t>Fischer</t>
  </si>
  <si>
    <t>Roland</t>
  </si>
  <si>
    <t>Rue des Champions</t>
  </si>
  <si>
    <t>Aebi</t>
  </si>
  <si>
    <t>Heinz</t>
  </si>
  <si>
    <t>Voie des Vignes</t>
  </si>
  <si>
    <t>Bourquin</t>
  </si>
  <si>
    <t>Yann</t>
  </si>
  <si>
    <t>Rue des Noisettes</t>
  </si>
  <si>
    <t>Clerc</t>
  </si>
  <si>
    <t>Lena</t>
  </si>
  <si>
    <t>Route de Saphir</t>
  </si>
  <si>
    <t>Meechan</t>
  </si>
  <si>
    <t>Rue des Agriculteurs</t>
  </si>
  <si>
    <t>Berba</t>
  </si>
  <si>
    <t>Sandra</t>
  </si>
  <si>
    <t>Voie de Gel</t>
  </si>
  <si>
    <t>Reto</t>
  </si>
  <si>
    <t>Rue du Château</t>
  </si>
  <si>
    <t>Riccio</t>
  </si>
  <si>
    <t>Michelle</t>
  </si>
  <si>
    <t>Boulevard des Sauterelles</t>
  </si>
  <si>
    <t>Cusin</t>
  </si>
  <si>
    <t>Michel</t>
  </si>
  <si>
    <t>Chemin de la Reine</t>
  </si>
  <si>
    <t>Weisskoft</t>
  </si>
  <si>
    <t>Markus</t>
  </si>
  <si>
    <t>Rue des Guildes</t>
  </si>
  <si>
    <t>Brunkow</t>
  </si>
  <si>
    <t>Sven</t>
  </si>
  <si>
    <t>Alonso</t>
  </si>
  <si>
    <t>Javier</t>
  </si>
  <si>
    <t>Chemin des Cerfs</t>
  </si>
  <si>
    <t>Bermert</t>
  </si>
  <si>
    <t>Elias</t>
  </si>
  <si>
    <t>Rue de l'Étoile</t>
  </si>
  <si>
    <t>Good</t>
  </si>
  <si>
    <t>Chemin de la Prairie</t>
  </si>
  <si>
    <t xml:space="preserve">Blanc </t>
  </si>
  <si>
    <t>Julien</t>
  </si>
  <si>
    <t>Boulevard d'Arche</t>
  </si>
  <si>
    <t>Cedrea</t>
  </si>
  <si>
    <t>Allan</t>
  </si>
  <si>
    <t>Rue de Fortune</t>
  </si>
  <si>
    <t>Käser</t>
  </si>
  <si>
    <t>Joice</t>
  </si>
  <si>
    <t>Route du Laurier</t>
  </si>
  <si>
    <t>Morel</t>
  </si>
  <si>
    <t>Bernard</t>
  </si>
  <si>
    <t>Chemin d'Héritage</t>
  </si>
  <si>
    <t>Hutter</t>
  </si>
  <si>
    <t>Daria</t>
  </si>
  <si>
    <t>Rue d'Arche</t>
  </si>
  <si>
    <t xml:space="preserve">Maillard </t>
  </si>
  <si>
    <t>Céliane</t>
  </si>
  <si>
    <t>Boulevard d'Ombre</t>
  </si>
  <si>
    <t>Scholl</t>
  </si>
  <si>
    <t>Stefan</t>
  </si>
  <si>
    <t>Route des Terrasses</t>
  </si>
  <si>
    <t>Egli</t>
  </si>
  <si>
    <t>Irene</t>
  </si>
  <si>
    <t>Chemin de l'Arcade</t>
  </si>
  <si>
    <t>Prete</t>
  </si>
  <si>
    <t>Christophe</t>
  </si>
  <si>
    <t>Boulevard de Rubis</t>
  </si>
  <si>
    <t>Camelo</t>
  </si>
  <si>
    <t>Marion</t>
  </si>
  <si>
    <t>Rue de la Comtesse</t>
  </si>
  <si>
    <t>Kaltsos</t>
  </si>
  <si>
    <t>Evangelos</t>
  </si>
  <si>
    <t>Rue de Tonnerre</t>
  </si>
  <si>
    <t>Corbat</t>
  </si>
  <si>
    <t>Antoine</t>
  </si>
  <si>
    <t>Boulevard du Roi</t>
  </si>
  <si>
    <t>Kovacs</t>
  </si>
  <si>
    <t>Rue d'Équité</t>
  </si>
  <si>
    <t>Lopes</t>
  </si>
  <si>
    <t>Fabienne</t>
  </si>
  <si>
    <t>Route de la Terre</t>
  </si>
  <si>
    <t>TITRE</t>
  </si>
  <si>
    <t>GENRE</t>
  </si>
  <si>
    <t>ANNEE</t>
  </si>
  <si>
    <t>PAYS</t>
  </si>
  <si>
    <t>REALISATEUR</t>
  </si>
  <si>
    <t>ACTEUR PRINCIPAL</t>
  </si>
  <si>
    <t>ENTREES</t>
  </si>
  <si>
    <t>OSCAR</t>
  </si>
  <si>
    <t>A bout de souffle</t>
  </si>
  <si>
    <t>Comédie dramatique</t>
  </si>
  <si>
    <t>F</t>
  </si>
  <si>
    <t>Godard</t>
  </si>
  <si>
    <t>Belmondo</t>
  </si>
  <si>
    <t>NON</t>
  </si>
  <si>
    <t>West side story</t>
  </si>
  <si>
    <t>Comédie musicale</t>
  </si>
  <si>
    <t>USA</t>
  </si>
  <si>
    <t>Wise</t>
  </si>
  <si>
    <t>Wood</t>
  </si>
  <si>
    <t>La guerre des boutons</t>
  </si>
  <si>
    <t>Comédie</t>
  </si>
  <si>
    <t>Robert</t>
  </si>
  <si>
    <t>Dufilho</t>
  </si>
  <si>
    <t>Pour une poignée de dollars</t>
  </si>
  <si>
    <t>Western</t>
  </si>
  <si>
    <t>I</t>
  </si>
  <si>
    <t>Leone</t>
  </si>
  <si>
    <t>Eastwood</t>
  </si>
  <si>
    <t>Le bon, la brute et le truand</t>
  </si>
  <si>
    <t>2001 : l'Odyssée de l'espace</t>
  </si>
  <si>
    <t>Fantastique</t>
  </si>
  <si>
    <t>GB</t>
  </si>
  <si>
    <t>Kubrick</t>
  </si>
  <si>
    <t>Dullea</t>
  </si>
  <si>
    <t>Hello Dolly</t>
  </si>
  <si>
    <t>Kelly</t>
  </si>
  <si>
    <t>Streisand</t>
  </si>
  <si>
    <t>Il était une fois dans l'Ouest</t>
  </si>
  <si>
    <t>Bronson</t>
  </si>
  <si>
    <t>Le dernier tango à Paris</t>
  </si>
  <si>
    <t>Bertolucci</t>
  </si>
  <si>
    <t>Brando</t>
  </si>
  <si>
    <t>Le Parrain</t>
  </si>
  <si>
    <t>Drame</t>
  </si>
  <si>
    <t>Coppola</t>
  </si>
  <si>
    <t>OUI</t>
  </si>
  <si>
    <t>L'affaire Mattei</t>
  </si>
  <si>
    <t>Policier</t>
  </si>
  <si>
    <t>Rosi</t>
  </si>
  <si>
    <t>Volonte</t>
  </si>
  <si>
    <t>Le Parrain II</t>
  </si>
  <si>
    <t>Pacino</t>
  </si>
  <si>
    <t>Les dents de la mer</t>
  </si>
  <si>
    <t>Aventure</t>
  </si>
  <si>
    <t>Spielberg</t>
  </si>
  <si>
    <t>Scheider</t>
  </si>
  <si>
    <t>Le dernier nabab</t>
  </si>
  <si>
    <t>Kazan</t>
  </si>
  <si>
    <t>De Niro</t>
  </si>
  <si>
    <t>Taxi Driver</t>
  </si>
  <si>
    <t>Scorsese</t>
  </si>
  <si>
    <t>La guerre des étoiles</t>
  </si>
  <si>
    <t>Lucas</t>
  </si>
  <si>
    <t>Ford</t>
  </si>
  <si>
    <t>Rencontres du troisième type</t>
  </si>
  <si>
    <t>Dreyfuss</t>
  </si>
  <si>
    <t>Annie Hall</t>
  </si>
  <si>
    <t>Allen</t>
  </si>
  <si>
    <t>Voyage au bout de l'enfer</t>
  </si>
  <si>
    <t>Cimino</t>
  </si>
  <si>
    <t>Le ciel peut attendre</t>
  </si>
  <si>
    <t>Beatty</t>
  </si>
  <si>
    <t>Apocalypse now</t>
  </si>
  <si>
    <t>Guerre</t>
  </si>
  <si>
    <t>Shining</t>
  </si>
  <si>
    <t>Horreur</t>
  </si>
  <si>
    <t>Nicholson</t>
  </si>
  <si>
    <t>Le dernier métro</t>
  </si>
  <si>
    <t>Truffaut</t>
  </si>
  <si>
    <t>Depardieu</t>
  </si>
  <si>
    <t>Le retour de Martin Guerre</t>
  </si>
  <si>
    <t>Vigne</t>
  </si>
  <si>
    <t>La guerre du feu</t>
  </si>
  <si>
    <t>Annaud</t>
  </si>
  <si>
    <t>Mac Gill</t>
  </si>
  <si>
    <t>Les aventuriers de l'arche perdue</t>
  </si>
  <si>
    <t>Gandhi</t>
  </si>
  <si>
    <t>Attenbourough</t>
  </si>
  <si>
    <t>Kingsley</t>
  </si>
  <si>
    <t>Missing</t>
  </si>
  <si>
    <t>Gavras</t>
  </si>
  <si>
    <t>Lemmon</t>
  </si>
  <si>
    <t>E.T.</t>
  </si>
  <si>
    <t>Wargames</t>
  </si>
  <si>
    <t>Badham</t>
  </si>
  <si>
    <t>Broderick</t>
  </si>
  <si>
    <t>Tendres passions</t>
  </si>
  <si>
    <t>Brooks</t>
  </si>
  <si>
    <t>Cotton club</t>
  </si>
  <si>
    <t>Gere</t>
  </si>
  <si>
    <t>L'année du dragon</t>
  </si>
  <si>
    <t>Rourke</t>
  </si>
  <si>
    <t>Lady Hawke</t>
  </si>
  <si>
    <t>Donner</t>
  </si>
  <si>
    <t>Highlander</t>
  </si>
  <si>
    <t>Mulcahy</t>
  </si>
  <si>
    <t>Lambert</t>
  </si>
  <si>
    <t>Out of Africa</t>
  </si>
  <si>
    <t>Pollack</t>
  </si>
  <si>
    <t>Redford</t>
  </si>
  <si>
    <t>La rose pourpre du Caire</t>
  </si>
  <si>
    <t>Farrow</t>
  </si>
  <si>
    <t>Jean de Florette</t>
  </si>
  <si>
    <t>Berri</t>
  </si>
  <si>
    <t>Montand</t>
  </si>
  <si>
    <t>Manon des Sources</t>
  </si>
  <si>
    <t>Le maître de guerre</t>
  </si>
  <si>
    <t>Trois hommes et un couffin</t>
  </si>
  <si>
    <t>Serreau</t>
  </si>
  <si>
    <t>Dussolier</t>
  </si>
  <si>
    <t>Le nom de la rose</t>
  </si>
  <si>
    <t>Connery</t>
  </si>
  <si>
    <t>Pirates</t>
  </si>
  <si>
    <t>Polanski</t>
  </si>
  <si>
    <t>Matthau</t>
  </si>
  <si>
    <t>Le dernier empereur</t>
  </si>
  <si>
    <t>O'Toole</t>
  </si>
  <si>
    <t>Sous le soleil de Satan</t>
  </si>
  <si>
    <t>Pialat</t>
  </si>
  <si>
    <t>L'ours</t>
  </si>
  <si>
    <t>Karyo</t>
  </si>
  <si>
    <t>Le grand bleu</t>
  </si>
  <si>
    <t>Besson</t>
  </si>
  <si>
    <t>Barr</t>
  </si>
  <si>
    <t>Qui veut la peau de Roger Rabbit</t>
  </si>
  <si>
    <t>Zemeckis</t>
  </si>
  <si>
    <t>Hoskins</t>
  </si>
  <si>
    <t>Crimes et délits</t>
  </si>
  <si>
    <t>Le Parrain III</t>
  </si>
  <si>
    <t>Ghost</t>
  </si>
  <si>
    <t>Zucker</t>
  </si>
  <si>
    <t>Swayze</t>
  </si>
  <si>
    <t>Moyenne
Semestre 1</t>
  </si>
  <si>
    <t>Signe 
zodiaque</t>
  </si>
  <si>
    <t>Date 
naissance</t>
  </si>
  <si>
    <t>Année 
scolaire</t>
  </si>
  <si>
    <t>Moyenne 
Semestre 2</t>
  </si>
  <si>
    <t>Moyenne 
annuelle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</si>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</sst>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8"/>
      <color theme="0"/>
      <name val="Century Gothic"/>
      <family val="2"/>
      <scheme val="minor"/>
    </font>
    <font>
      <sz val="12"/>
      <color theme="1"/>
      <name val="Century Gothic"/>
      <family val="2"/>
      <scheme val="major"/>
    </font>
    <font>
      <sz val="12"/>
      <color indexed="8"/>
      <name val="Century Gothic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3" fillId="2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2" borderId="1" xfId="1" applyFont="1" applyBorder="1" applyAlignment="1">
      <alignment horizontal="center" vertical="center" wrapText="1"/>
    </xf>
    <xf numFmtId="14" fontId="3" fillId="2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4" fontId="3" fillId="3" borderId="1" xfId="1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3">
    <cellStyle name="Accent6" xfId="1" builtinId="49"/>
    <cellStyle name="Normal" xfId="0" builtinId="0"/>
    <cellStyle name="Normal 2" xfId="2" xr:uid="{30BBF3FF-C44E-4B50-8B0D-31BD51F17F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0561-4C2C-45A9-94F8-F2736A399C68}">
  <sheetPr>
    <pageSetUpPr fitToPage="1"/>
  </sheetPr>
  <dimension ref="A1:R101"/>
  <sheetViews>
    <sheetView tabSelected="1" zoomScaleNormal="100" workbookViewId="0"/>
  </sheetViews>
  <sheetFormatPr baseColWidth="10" defaultColWidth="15.77734375" defaultRowHeight="20.100000000000001" customHeight="1" x14ac:dyDescent="0.3"/>
  <cols>
    <col min="1" max="3" width="15.77734375" style="3"/>
    <col min="4" max="4" width="29.21875" style="3" bestFit="1" customWidth="1"/>
    <col min="5" max="16384" width="15.77734375" style="3"/>
  </cols>
  <sheetData>
    <row r="1" spans="1:18" ht="50.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468</v>
      </c>
      <c r="H1" s="7" t="s">
        <v>469</v>
      </c>
      <c r="I1" s="2" t="s">
        <v>6</v>
      </c>
      <c r="J1" s="2" t="s">
        <v>7</v>
      </c>
      <c r="K1" s="2" t="s">
        <v>8</v>
      </c>
      <c r="L1" s="2" t="s">
        <v>9</v>
      </c>
      <c r="M1" s="6" t="s">
        <v>470</v>
      </c>
      <c r="N1" s="2" t="s">
        <v>10</v>
      </c>
      <c r="O1" s="6" t="s">
        <v>467</v>
      </c>
      <c r="P1" s="6" t="s">
        <v>471</v>
      </c>
      <c r="Q1" s="6" t="s">
        <v>472</v>
      </c>
      <c r="R1" s="2" t="s">
        <v>11</v>
      </c>
    </row>
    <row r="2" spans="1:18" ht="20.100000000000001" customHeight="1" x14ac:dyDescent="0.3">
      <c r="A2" s="4" t="s">
        <v>18</v>
      </c>
      <c r="B2" s="4" t="s">
        <v>249</v>
      </c>
      <c r="C2" s="4" t="s">
        <v>250</v>
      </c>
      <c r="D2" s="4" t="s">
        <v>251</v>
      </c>
      <c r="E2" s="4">
        <v>13</v>
      </c>
      <c r="F2" s="4" t="s">
        <v>56</v>
      </c>
      <c r="G2" s="4" t="s">
        <v>23</v>
      </c>
      <c r="H2" s="5">
        <v>36558</v>
      </c>
      <c r="I2" s="4" t="str">
        <f t="shared" ref="I2:I33" si="0">TEXT(H2,"jjjj")</f>
        <v>mercredi</v>
      </c>
      <c r="J2" s="4" t="str">
        <f t="shared" ref="J2:J33" si="1">TEXT(H2,"mmmm")</f>
        <v>février</v>
      </c>
      <c r="K2" s="4">
        <f t="shared" ref="K2:K33" si="2">YEAR(H2)</f>
        <v>2000</v>
      </c>
      <c r="L2" s="4">
        <f t="shared" ref="L2:L33" ca="1" si="3">YEAR(TODAY())-K2</f>
        <v>25</v>
      </c>
      <c r="M2" s="4">
        <v>2</v>
      </c>
      <c r="N2" s="4">
        <v>1066</v>
      </c>
      <c r="O2" s="13">
        <v>3.3</v>
      </c>
      <c r="P2" s="13">
        <v>5.6</v>
      </c>
      <c r="Q2" s="13">
        <f t="shared" ref="Q2:Q33" si="4">AVERAGE(O2,P2)</f>
        <v>4.4499999999999993</v>
      </c>
      <c r="R2" s="4" t="str">
        <f t="shared" ref="R2:R33" si="5">IF(Q2&lt;4,"ECHEC","REUSSITE")</f>
        <v>REUSSITE</v>
      </c>
    </row>
    <row r="3" spans="1:18" ht="20.100000000000001" customHeight="1" x14ac:dyDescent="0.3">
      <c r="A3" s="4" t="s">
        <v>18</v>
      </c>
      <c r="B3" s="4" t="s">
        <v>276</v>
      </c>
      <c r="C3" s="4" t="s">
        <v>277</v>
      </c>
      <c r="D3" s="4" t="s">
        <v>278</v>
      </c>
      <c r="E3" s="4">
        <v>25</v>
      </c>
      <c r="F3" s="4" t="s">
        <v>39</v>
      </c>
      <c r="G3" s="4" t="s">
        <v>87</v>
      </c>
      <c r="H3" s="5">
        <v>37379</v>
      </c>
      <c r="I3" s="4" t="str">
        <f t="shared" si="0"/>
        <v>vendredi</v>
      </c>
      <c r="J3" s="4" t="str">
        <f t="shared" si="1"/>
        <v>mai</v>
      </c>
      <c r="K3" s="4">
        <f t="shared" si="2"/>
        <v>2002</v>
      </c>
      <c r="L3" s="4">
        <f t="shared" ca="1" si="3"/>
        <v>23</v>
      </c>
      <c r="M3" s="4">
        <v>1</v>
      </c>
      <c r="N3" s="4">
        <v>731</v>
      </c>
      <c r="O3" s="13">
        <v>5.6</v>
      </c>
      <c r="P3" s="13">
        <v>4</v>
      </c>
      <c r="Q3" s="13">
        <f t="shared" si="4"/>
        <v>4.8</v>
      </c>
      <c r="R3" s="4" t="str">
        <f t="shared" si="5"/>
        <v>REUSSITE</v>
      </c>
    </row>
    <row r="4" spans="1:18" ht="20.100000000000001" customHeight="1" x14ac:dyDescent="0.3">
      <c r="A4" s="4" t="s">
        <v>18</v>
      </c>
      <c r="B4" s="4" t="s">
        <v>185</v>
      </c>
      <c r="C4" s="4" t="s">
        <v>186</v>
      </c>
      <c r="D4" s="4" t="s">
        <v>187</v>
      </c>
      <c r="E4" s="4">
        <v>26</v>
      </c>
      <c r="F4" s="4" t="s">
        <v>22</v>
      </c>
      <c r="G4" s="4" t="s">
        <v>125</v>
      </c>
      <c r="H4" s="5">
        <v>35934</v>
      </c>
      <c r="I4" s="4" t="str">
        <f t="shared" si="0"/>
        <v>mardi</v>
      </c>
      <c r="J4" s="4" t="str">
        <f t="shared" si="1"/>
        <v>mai</v>
      </c>
      <c r="K4" s="4">
        <f t="shared" si="2"/>
        <v>1998</v>
      </c>
      <c r="L4" s="4">
        <f t="shared" ca="1" si="3"/>
        <v>27</v>
      </c>
      <c r="M4" s="4">
        <v>1</v>
      </c>
      <c r="N4" s="4">
        <v>761</v>
      </c>
      <c r="O4" s="13">
        <v>4.7</v>
      </c>
      <c r="P4" s="13">
        <v>5.4</v>
      </c>
      <c r="Q4" s="13">
        <f t="shared" si="4"/>
        <v>5.0500000000000007</v>
      </c>
      <c r="R4" s="4" t="str">
        <f t="shared" si="5"/>
        <v>REUSSITE</v>
      </c>
    </row>
    <row r="5" spans="1:18" ht="20.100000000000001" customHeight="1" x14ac:dyDescent="0.3">
      <c r="A5" s="4" t="s">
        <v>18</v>
      </c>
      <c r="B5" s="4" t="s">
        <v>240</v>
      </c>
      <c r="C5" s="4" t="s">
        <v>241</v>
      </c>
      <c r="D5" s="4" t="s">
        <v>242</v>
      </c>
      <c r="E5" s="4">
        <v>20</v>
      </c>
      <c r="F5" s="4" t="s">
        <v>56</v>
      </c>
      <c r="G5" s="4" t="s">
        <v>210</v>
      </c>
      <c r="H5" s="5">
        <v>33739</v>
      </c>
      <c r="I5" s="4" t="str">
        <f t="shared" si="0"/>
        <v>vendredi</v>
      </c>
      <c r="J5" s="4" t="str">
        <f t="shared" si="1"/>
        <v>mai</v>
      </c>
      <c r="K5" s="4">
        <f t="shared" si="2"/>
        <v>1992</v>
      </c>
      <c r="L5" s="4">
        <f t="shared" ca="1" si="3"/>
        <v>33</v>
      </c>
      <c r="M5" s="4">
        <v>1</v>
      </c>
      <c r="N5" s="4">
        <v>797</v>
      </c>
      <c r="O5" s="13">
        <v>5.8</v>
      </c>
      <c r="P5" s="13">
        <v>4.4000000000000004</v>
      </c>
      <c r="Q5" s="13">
        <f t="shared" si="4"/>
        <v>5.0999999999999996</v>
      </c>
      <c r="R5" s="4" t="str">
        <f t="shared" si="5"/>
        <v>REUSSITE</v>
      </c>
    </row>
    <row r="6" spans="1:18" ht="20.100000000000001" customHeight="1" x14ac:dyDescent="0.3">
      <c r="A6" s="4" t="s">
        <v>12</v>
      </c>
      <c r="B6" s="4" t="s">
        <v>196</v>
      </c>
      <c r="C6" s="4" t="s">
        <v>197</v>
      </c>
      <c r="D6" s="4" t="s">
        <v>198</v>
      </c>
      <c r="E6" s="4">
        <v>18</v>
      </c>
      <c r="F6" s="4" t="s">
        <v>63</v>
      </c>
      <c r="G6" s="4" t="s">
        <v>23</v>
      </c>
      <c r="H6" s="5">
        <v>35768</v>
      </c>
      <c r="I6" s="4" t="str">
        <f t="shared" si="0"/>
        <v>jeudi</v>
      </c>
      <c r="J6" s="4" t="str">
        <f t="shared" si="1"/>
        <v>décembre</v>
      </c>
      <c r="K6" s="4">
        <f t="shared" si="2"/>
        <v>1997</v>
      </c>
      <c r="L6" s="4">
        <f t="shared" ca="1" si="3"/>
        <v>28</v>
      </c>
      <c r="M6" s="4">
        <v>2</v>
      </c>
      <c r="N6" s="4">
        <v>1023</v>
      </c>
      <c r="O6" s="13">
        <v>2.7</v>
      </c>
      <c r="P6" s="13">
        <v>5.5</v>
      </c>
      <c r="Q6" s="13">
        <f t="shared" si="4"/>
        <v>4.0999999999999996</v>
      </c>
      <c r="R6" s="4" t="str">
        <f t="shared" si="5"/>
        <v>REUSSITE</v>
      </c>
    </row>
    <row r="7" spans="1:18" ht="20.100000000000001" customHeight="1" x14ac:dyDescent="0.3">
      <c r="A7" s="4" t="s">
        <v>18</v>
      </c>
      <c r="B7" s="4" t="s">
        <v>64</v>
      </c>
      <c r="C7" s="4" t="s">
        <v>65</v>
      </c>
      <c r="D7" s="4" t="s">
        <v>66</v>
      </c>
      <c r="E7" s="4">
        <v>6</v>
      </c>
      <c r="F7" s="4" t="s">
        <v>67</v>
      </c>
      <c r="G7" s="4" t="s">
        <v>44</v>
      </c>
      <c r="H7" s="5">
        <v>35503</v>
      </c>
      <c r="I7" s="4" t="str">
        <f t="shared" si="0"/>
        <v>vendredi</v>
      </c>
      <c r="J7" s="4" t="str">
        <f t="shared" si="1"/>
        <v>mars</v>
      </c>
      <c r="K7" s="4">
        <f t="shared" si="2"/>
        <v>1997</v>
      </c>
      <c r="L7" s="4">
        <f t="shared" ca="1" si="3"/>
        <v>28</v>
      </c>
      <c r="M7" s="4">
        <v>1</v>
      </c>
      <c r="N7" s="4">
        <v>785</v>
      </c>
      <c r="O7" s="13">
        <v>3.6</v>
      </c>
      <c r="P7" s="13">
        <v>3.7</v>
      </c>
      <c r="Q7" s="13">
        <f t="shared" si="4"/>
        <v>3.6500000000000004</v>
      </c>
      <c r="R7" s="4" t="str">
        <f t="shared" si="5"/>
        <v>ECHEC</v>
      </c>
    </row>
    <row r="8" spans="1:18" ht="20.100000000000001" customHeight="1" x14ac:dyDescent="0.3">
      <c r="A8" s="4" t="s">
        <v>12</v>
      </c>
      <c r="B8" s="4" t="s">
        <v>260</v>
      </c>
      <c r="C8" s="4" t="s">
        <v>261</v>
      </c>
      <c r="D8" s="4" t="s">
        <v>262</v>
      </c>
      <c r="E8" s="4">
        <v>47</v>
      </c>
      <c r="F8" s="4" t="s">
        <v>56</v>
      </c>
      <c r="G8" s="4" t="s">
        <v>210</v>
      </c>
      <c r="H8" s="5">
        <v>36235</v>
      </c>
      <c r="I8" s="4" t="str">
        <f t="shared" si="0"/>
        <v>mardi</v>
      </c>
      <c r="J8" s="4" t="str">
        <f t="shared" si="1"/>
        <v>mars</v>
      </c>
      <c r="K8" s="4">
        <f t="shared" si="2"/>
        <v>1999</v>
      </c>
      <c r="L8" s="4">
        <f t="shared" ca="1" si="3"/>
        <v>26</v>
      </c>
      <c r="M8" s="4">
        <v>2</v>
      </c>
      <c r="N8" s="4">
        <v>1194</v>
      </c>
      <c r="O8" s="13">
        <v>3.4</v>
      </c>
      <c r="P8" s="13">
        <v>5.5</v>
      </c>
      <c r="Q8" s="13">
        <f t="shared" si="4"/>
        <v>4.45</v>
      </c>
      <c r="R8" s="4" t="str">
        <f t="shared" si="5"/>
        <v>REUSSITE</v>
      </c>
    </row>
    <row r="9" spans="1:18" ht="20.100000000000001" customHeight="1" x14ac:dyDescent="0.3">
      <c r="A9" s="4" t="s">
        <v>18</v>
      </c>
      <c r="B9" s="4" t="s">
        <v>279</v>
      </c>
      <c r="C9" s="4" t="s">
        <v>280</v>
      </c>
      <c r="D9" s="4" t="s">
        <v>281</v>
      </c>
      <c r="E9" s="4">
        <v>36</v>
      </c>
      <c r="F9" s="4" t="s">
        <v>56</v>
      </c>
      <c r="G9" s="4" t="s">
        <v>23</v>
      </c>
      <c r="H9" s="5">
        <v>34727</v>
      </c>
      <c r="I9" s="4" t="str">
        <f t="shared" si="0"/>
        <v>samedi</v>
      </c>
      <c r="J9" s="4" t="str">
        <f t="shared" si="1"/>
        <v>janvier</v>
      </c>
      <c r="K9" s="4">
        <f t="shared" si="2"/>
        <v>1995</v>
      </c>
      <c r="L9" s="4">
        <f t="shared" ca="1" si="3"/>
        <v>30</v>
      </c>
      <c r="M9" s="4">
        <v>3</v>
      </c>
      <c r="N9" s="4">
        <v>1482</v>
      </c>
      <c r="O9" s="13">
        <v>3.8</v>
      </c>
      <c r="P9" s="13">
        <v>4.3</v>
      </c>
      <c r="Q9" s="13">
        <f t="shared" si="4"/>
        <v>4.05</v>
      </c>
      <c r="R9" s="4" t="str">
        <f t="shared" si="5"/>
        <v>REUSSITE</v>
      </c>
    </row>
    <row r="10" spans="1:18" ht="20.100000000000001" customHeight="1" x14ac:dyDescent="0.3">
      <c r="A10" s="4" t="s">
        <v>18</v>
      </c>
      <c r="B10" s="4" t="s">
        <v>171</v>
      </c>
      <c r="C10" s="4" t="s">
        <v>172</v>
      </c>
      <c r="D10" s="4" t="s">
        <v>173</v>
      </c>
      <c r="E10" s="4">
        <v>42</v>
      </c>
      <c r="F10" s="4" t="s">
        <v>63</v>
      </c>
      <c r="G10" s="4" t="s">
        <v>32</v>
      </c>
      <c r="H10" s="5">
        <v>36350</v>
      </c>
      <c r="I10" s="4" t="str">
        <f t="shared" si="0"/>
        <v>vendredi</v>
      </c>
      <c r="J10" s="4" t="str">
        <f t="shared" si="1"/>
        <v>juillet</v>
      </c>
      <c r="K10" s="4">
        <f t="shared" si="2"/>
        <v>1999</v>
      </c>
      <c r="L10" s="4">
        <f t="shared" ca="1" si="3"/>
        <v>26</v>
      </c>
      <c r="M10" s="4">
        <v>4</v>
      </c>
      <c r="N10" s="4">
        <v>1839</v>
      </c>
      <c r="O10" s="13">
        <v>2.7</v>
      </c>
      <c r="P10" s="13">
        <v>5.5</v>
      </c>
      <c r="Q10" s="13">
        <f t="shared" si="4"/>
        <v>4.0999999999999996</v>
      </c>
      <c r="R10" s="4" t="str">
        <f t="shared" si="5"/>
        <v>REUSSITE</v>
      </c>
    </row>
    <row r="11" spans="1:18" ht="20.100000000000001" customHeight="1" x14ac:dyDescent="0.3">
      <c r="A11" s="4" t="s">
        <v>18</v>
      </c>
      <c r="B11" s="4" t="s">
        <v>284</v>
      </c>
      <c r="C11" s="4" t="s">
        <v>285</v>
      </c>
      <c r="D11" s="4" t="s">
        <v>286</v>
      </c>
      <c r="E11" s="4">
        <v>8</v>
      </c>
      <c r="F11" s="4" t="s">
        <v>27</v>
      </c>
      <c r="G11" s="4" t="s">
        <v>48</v>
      </c>
      <c r="H11" s="5">
        <v>36394</v>
      </c>
      <c r="I11" s="4" t="str">
        <f t="shared" si="0"/>
        <v>dimanche</v>
      </c>
      <c r="J11" s="4" t="str">
        <f t="shared" si="1"/>
        <v>août</v>
      </c>
      <c r="K11" s="4">
        <f t="shared" si="2"/>
        <v>1999</v>
      </c>
      <c r="L11" s="4">
        <f t="shared" ca="1" si="3"/>
        <v>26</v>
      </c>
      <c r="M11" s="4">
        <v>2</v>
      </c>
      <c r="N11" s="4">
        <v>1140</v>
      </c>
      <c r="O11" s="13">
        <v>4.8</v>
      </c>
      <c r="P11" s="13">
        <v>5</v>
      </c>
      <c r="Q11" s="13">
        <f t="shared" si="4"/>
        <v>4.9000000000000004</v>
      </c>
      <c r="R11" s="4" t="str">
        <f t="shared" si="5"/>
        <v>REUSSITE</v>
      </c>
    </row>
    <row r="12" spans="1:18" ht="20.100000000000001" customHeight="1" x14ac:dyDescent="0.3">
      <c r="A12" s="4" t="s">
        <v>18</v>
      </c>
      <c r="B12" s="4" t="s">
        <v>252</v>
      </c>
      <c r="C12" s="4" t="s">
        <v>253</v>
      </c>
      <c r="D12" s="4" t="s">
        <v>254</v>
      </c>
      <c r="E12" s="4">
        <v>20</v>
      </c>
      <c r="F12" s="4" t="s">
        <v>39</v>
      </c>
      <c r="G12" s="4" t="s">
        <v>44</v>
      </c>
      <c r="H12" s="5">
        <v>35938</v>
      </c>
      <c r="I12" s="4" t="str">
        <f t="shared" si="0"/>
        <v>samedi</v>
      </c>
      <c r="J12" s="4" t="str">
        <f t="shared" si="1"/>
        <v>mai</v>
      </c>
      <c r="K12" s="4">
        <f t="shared" si="2"/>
        <v>1998</v>
      </c>
      <c r="L12" s="4">
        <f t="shared" ca="1" si="3"/>
        <v>27</v>
      </c>
      <c r="M12" s="4">
        <v>1</v>
      </c>
      <c r="N12" s="4">
        <v>744</v>
      </c>
      <c r="O12" s="13">
        <v>5</v>
      </c>
      <c r="P12" s="13">
        <v>5.0999999999999996</v>
      </c>
      <c r="Q12" s="13">
        <f t="shared" si="4"/>
        <v>5.05</v>
      </c>
      <c r="R12" s="4" t="str">
        <f t="shared" si="5"/>
        <v>REUSSITE</v>
      </c>
    </row>
    <row r="13" spans="1:18" ht="20.100000000000001" customHeight="1" x14ac:dyDescent="0.3">
      <c r="A13" s="4" t="s">
        <v>18</v>
      </c>
      <c r="B13" s="4" t="s">
        <v>122</v>
      </c>
      <c r="C13" s="4" t="s">
        <v>123</v>
      </c>
      <c r="D13" s="4" t="s">
        <v>124</v>
      </c>
      <c r="E13" s="4">
        <v>29</v>
      </c>
      <c r="F13" s="4" t="s">
        <v>22</v>
      </c>
      <c r="G13" s="4" t="s">
        <v>125</v>
      </c>
      <c r="H13" s="5">
        <v>33831</v>
      </c>
      <c r="I13" s="4" t="str">
        <f t="shared" si="0"/>
        <v>samedi</v>
      </c>
      <c r="J13" s="4" t="str">
        <f t="shared" si="1"/>
        <v>août</v>
      </c>
      <c r="K13" s="4">
        <f t="shared" si="2"/>
        <v>1992</v>
      </c>
      <c r="L13" s="4">
        <f t="shared" ca="1" si="3"/>
        <v>33</v>
      </c>
      <c r="M13" s="4">
        <v>1</v>
      </c>
      <c r="N13" s="4">
        <v>786</v>
      </c>
      <c r="O13" s="13">
        <v>3</v>
      </c>
      <c r="P13" s="13">
        <v>5.2</v>
      </c>
      <c r="Q13" s="13">
        <f t="shared" si="4"/>
        <v>4.0999999999999996</v>
      </c>
      <c r="R13" s="4" t="str">
        <f t="shared" si="5"/>
        <v>REUSSITE</v>
      </c>
    </row>
    <row r="14" spans="1:18" ht="20.100000000000001" customHeight="1" x14ac:dyDescent="0.3">
      <c r="A14" s="4" t="s">
        <v>18</v>
      </c>
      <c r="B14" s="4" t="s">
        <v>274</v>
      </c>
      <c r="C14" s="4" t="s">
        <v>275</v>
      </c>
      <c r="D14" s="4" t="s">
        <v>176</v>
      </c>
      <c r="E14" s="4">
        <v>3</v>
      </c>
      <c r="F14" s="4" t="s">
        <v>39</v>
      </c>
      <c r="G14" s="4" t="s">
        <v>52</v>
      </c>
      <c r="H14" s="5">
        <v>36393</v>
      </c>
      <c r="I14" s="4" t="str">
        <f t="shared" si="0"/>
        <v>samedi</v>
      </c>
      <c r="J14" s="4" t="str">
        <f t="shared" si="1"/>
        <v>août</v>
      </c>
      <c r="K14" s="4">
        <f t="shared" si="2"/>
        <v>1999</v>
      </c>
      <c r="L14" s="4">
        <f t="shared" ca="1" si="3"/>
        <v>26</v>
      </c>
      <c r="M14" s="4">
        <v>4</v>
      </c>
      <c r="N14" s="4">
        <v>1801</v>
      </c>
      <c r="O14" s="13">
        <v>5.7</v>
      </c>
      <c r="P14" s="13">
        <v>5.5</v>
      </c>
      <c r="Q14" s="13">
        <f t="shared" si="4"/>
        <v>5.6</v>
      </c>
      <c r="R14" s="4" t="str">
        <f t="shared" si="5"/>
        <v>REUSSITE</v>
      </c>
    </row>
    <row r="15" spans="1:18" ht="20.100000000000001" customHeight="1" x14ac:dyDescent="0.3">
      <c r="A15" s="4" t="s">
        <v>12</v>
      </c>
      <c r="B15" s="4" t="s">
        <v>138</v>
      </c>
      <c r="C15" s="4" t="s">
        <v>139</v>
      </c>
      <c r="D15" s="4" t="s">
        <v>140</v>
      </c>
      <c r="E15" s="4">
        <v>14</v>
      </c>
      <c r="F15" s="4" t="s">
        <v>43</v>
      </c>
      <c r="G15" s="4" t="s">
        <v>44</v>
      </c>
      <c r="H15" s="5">
        <v>33943</v>
      </c>
      <c r="I15" s="4" t="str">
        <f t="shared" si="0"/>
        <v>samedi</v>
      </c>
      <c r="J15" s="4" t="str">
        <f t="shared" si="1"/>
        <v>décembre</v>
      </c>
      <c r="K15" s="4">
        <f t="shared" si="2"/>
        <v>1992</v>
      </c>
      <c r="L15" s="4">
        <f t="shared" ca="1" si="3"/>
        <v>33</v>
      </c>
      <c r="M15" s="4">
        <v>1</v>
      </c>
      <c r="N15" s="4">
        <v>770</v>
      </c>
      <c r="O15" s="13">
        <v>5.4</v>
      </c>
      <c r="P15" s="13">
        <v>3.8</v>
      </c>
      <c r="Q15" s="13">
        <f t="shared" si="4"/>
        <v>4.5999999999999996</v>
      </c>
      <c r="R15" s="4" t="str">
        <f t="shared" si="5"/>
        <v>REUSSITE</v>
      </c>
    </row>
    <row r="16" spans="1:18" ht="20.100000000000001" customHeight="1" x14ac:dyDescent="0.3">
      <c r="A16" s="4" t="s">
        <v>18</v>
      </c>
      <c r="B16" s="4" t="s">
        <v>311</v>
      </c>
      <c r="C16" s="4" t="s">
        <v>312</v>
      </c>
      <c r="D16" s="4" t="s">
        <v>313</v>
      </c>
      <c r="E16" s="4">
        <v>31</v>
      </c>
      <c r="F16" s="4" t="s">
        <v>56</v>
      </c>
      <c r="G16" s="4" t="s">
        <v>87</v>
      </c>
      <c r="H16" s="5">
        <v>36465</v>
      </c>
      <c r="I16" s="4" t="str">
        <f t="shared" si="0"/>
        <v>lundi</v>
      </c>
      <c r="J16" s="4" t="str">
        <f t="shared" si="1"/>
        <v>novembre</v>
      </c>
      <c r="K16" s="4">
        <f t="shared" si="2"/>
        <v>1999</v>
      </c>
      <c r="L16" s="4">
        <f t="shared" ca="1" si="3"/>
        <v>26</v>
      </c>
      <c r="M16" s="4">
        <v>2</v>
      </c>
      <c r="N16" s="4">
        <v>1143</v>
      </c>
      <c r="O16" s="13">
        <v>4</v>
      </c>
      <c r="P16" s="13">
        <v>5.6</v>
      </c>
      <c r="Q16" s="13">
        <f t="shared" si="4"/>
        <v>4.8</v>
      </c>
      <c r="R16" s="4" t="str">
        <f t="shared" si="5"/>
        <v>REUSSITE</v>
      </c>
    </row>
    <row r="17" spans="1:18" ht="20.100000000000001" customHeight="1" x14ac:dyDescent="0.3">
      <c r="A17" s="4" t="s">
        <v>18</v>
      </c>
      <c r="B17" s="4" t="s">
        <v>91</v>
      </c>
      <c r="C17" s="4" t="s">
        <v>92</v>
      </c>
      <c r="D17" s="4" t="s">
        <v>93</v>
      </c>
      <c r="E17" s="4">
        <v>39</v>
      </c>
      <c r="F17" s="4" t="s">
        <v>16</v>
      </c>
      <c r="G17" s="4" t="s">
        <v>44</v>
      </c>
      <c r="H17" s="5">
        <v>35444</v>
      </c>
      <c r="I17" s="4" t="str">
        <f t="shared" si="0"/>
        <v>mardi</v>
      </c>
      <c r="J17" s="4" t="str">
        <f t="shared" si="1"/>
        <v>janvier</v>
      </c>
      <c r="K17" s="4">
        <f t="shared" si="2"/>
        <v>1997</v>
      </c>
      <c r="L17" s="4">
        <f t="shared" ca="1" si="3"/>
        <v>28</v>
      </c>
      <c r="M17" s="4">
        <v>2</v>
      </c>
      <c r="N17" s="4">
        <v>1090</v>
      </c>
      <c r="O17" s="13">
        <v>4.5999999999999996</v>
      </c>
      <c r="P17" s="13">
        <v>3.9</v>
      </c>
      <c r="Q17" s="13">
        <f t="shared" si="4"/>
        <v>4.25</v>
      </c>
      <c r="R17" s="4" t="str">
        <f t="shared" si="5"/>
        <v>REUSSITE</v>
      </c>
    </row>
    <row r="18" spans="1:18" ht="20.100000000000001" customHeight="1" x14ac:dyDescent="0.3">
      <c r="A18" s="4" t="s">
        <v>18</v>
      </c>
      <c r="B18" s="4" t="s">
        <v>287</v>
      </c>
      <c r="C18" s="4" t="s">
        <v>288</v>
      </c>
      <c r="D18" s="4" t="s">
        <v>289</v>
      </c>
      <c r="E18" s="4">
        <v>31</v>
      </c>
      <c r="F18" s="4" t="s">
        <v>22</v>
      </c>
      <c r="G18" s="4" t="s">
        <v>17</v>
      </c>
      <c r="H18" s="5">
        <v>37104</v>
      </c>
      <c r="I18" s="4" t="str">
        <f t="shared" si="0"/>
        <v>mercredi</v>
      </c>
      <c r="J18" s="4" t="str">
        <f t="shared" si="1"/>
        <v>août</v>
      </c>
      <c r="K18" s="4">
        <f t="shared" si="2"/>
        <v>2001</v>
      </c>
      <c r="L18" s="4">
        <f t="shared" ca="1" si="3"/>
        <v>24</v>
      </c>
      <c r="M18" s="4">
        <v>3</v>
      </c>
      <c r="N18" s="4">
        <v>1229</v>
      </c>
      <c r="O18" s="13">
        <v>4.5</v>
      </c>
      <c r="P18" s="13">
        <v>5.3</v>
      </c>
      <c r="Q18" s="13">
        <f t="shared" si="4"/>
        <v>4.9000000000000004</v>
      </c>
      <c r="R18" s="4" t="str">
        <f t="shared" si="5"/>
        <v>REUSSITE</v>
      </c>
    </row>
    <row r="19" spans="1:18" ht="20.100000000000001" customHeight="1" x14ac:dyDescent="0.3">
      <c r="A19" s="4" t="s">
        <v>12</v>
      </c>
      <c r="B19" s="4" t="s">
        <v>255</v>
      </c>
      <c r="C19" s="4" t="s">
        <v>256</v>
      </c>
      <c r="D19" s="4" t="s">
        <v>257</v>
      </c>
      <c r="E19" s="4">
        <v>38</v>
      </c>
      <c r="F19" s="4" t="s">
        <v>22</v>
      </c>
      <c r="G19" s="4" t="s">
        <v>125</v>
      </c>
      <c r="H19" s="5">
        <v>36158</v>
      </c>
      <c r="I19" s="4" t="str">
        <f t="shared" si="0"/>
        <v>mardi</v>
      </c>
      <c r="J19" s="4" t="str">
        <f t="shared" si="1"/>
        <v>décembre</v>
      </c>
      <c r="K19" s="4">
        <f t="shared" si="2"/>
        <v>1998</v>
      </c>
      <c r="L19" s="4">
        <f t="shared" ca="1" si="3"/>
        <v>27</v>
      </c>
      <c r="M19" s="4">
        <v>2</v>
      </c>
      <c r="N19" s="4">
        <v>1254</v>
      </c>
      <c r="O19" s="13">
        <v>5</v>
      </c>
      <c r="P19" s="13">
        <v>5.9</v>
      </c>
      <c r="Q19" s="13">
        <f t="shared" si="4"/>
        <v>5.45</v>
      </c>
      <c r="R19" s="4" t="str">
        <f t="shared" si="5"/>
        <v>REUSSITE</v>
      </c>
    </row>
    <row r="20" spans="1:18" ht="20.100000000000001" customHeight="1" x14ac:dyDescent="0.3">
      <c r="A20" s="4" t="s">
        <v>18</v>
      </c>
      <c r="B20" s="4" t="s">
        <v>101</v>
      </c>
      <c r="C20" s="4" t="s">
        <v>102</v>
      </c>
      <c r="D20" s="4" t="s">
        <v>103</v>
      </c>
      <c r="E20" s="4">
        <v>24</v>
      </c>
      <c r="F20" s="4" t="s">
        <v>22</v>
      </c>
      <c r="G20" s="4" t="s">
        <v>52</v>
      </c>
      <c r="H20" s="5">
        <v>36027</v>
      </c>
      <c r="I20" s="4" t="str">
        <f t="shared" si="0"/>
        <v>jeudi</v>
      </c>
      <c r="J20" s="4" t="str">
        <f t="shared" si="1"/>
        <v>août</v>
      </c>
      <c r="K20" s="4">
        <f t="shared" si="2"/>
        <v>1998</v>
      </c>
      <c r="L20" s="4">
        <f t="shared" ca="1" si="3"/>
        <v>27</v>
      </c>
      <c r="M20" s="4">
        <v>2</v>
      </c>
      <c r="N20" s="4">
        <v>1293</v>
      </c>
      <c r="O20" s="13">
        <v>5.0999999999999996</v>
      </c>
      <c r="P20" s="13">
        <v>5.6</v>
      </c>
      <c r="Q20" s="13">
        <f t="shared" si="4"/>
        <v>5.35</v>
      </c>
      <c r="R20" s="4" t="str">
        <f t="shared" si="5"/>
        <v>REUSSITE</v>
      </c>
    </row>
    <row r="21" spans="1:18" ht="20.100000000000001" customHeight="1" x14ac:dyDescent="0.3">
      <c r="A21" s="4" t="s">
        <v>18</v>
      </c>
      <c r="B21" s="4" t="s">
        <v>113</v>
      </c>
      <c r="C21" s="4" t="s">
        <v>114</v>
      </c>
      <c r="D21" s="4" t="s">
        <v>115</v>
      </c>
      <c r="E21" s="4">
        <v>28</v>
      </c>
      <c r="F21" s="4" t="s">
        <v>39</v>
      </c>
      <c r="G21" s="4" t="s">
        <v>100</v>
      </c>
      <c r="H21" s="5">
        <v>34137</v>
      </c>
      <c r="I21" s="4" t="str">
        <f t="shared" si="0"/>
        <v>jeudi</v>
      </c>
      <c r="J21" s="4" t="str">
        <f t="shared" si="1"/>
        <v>juin</v>
      </c>
      <c r="K21" s="4">
        <f t="shared" si="2"/>
        <v>1993</v>
      </c>
      <c r="L21" s="4">
        <f t="shared" ca="1" si="3"/>
        <v>32</v>
      </c>
      <c r="M21" s="4">
        <v>3</v>
      </c>
      <c r="N21" s="4">
        <v>1582</v>
      </c>
      <c r="O21" s="13">
        <v>4.7</v>
      </c>
      <c r="P21" s="13">
        <v>4.5</v>
      </c>
      <c r="Q21" s="13">
        <f t="shared" si="4"/>
        <v>4.5999999999999996</v>
      </c>
      <c r="R21" s="4" t="str">
        <f t="shared" si="5"/>
        <v>REUSSITE</v>
      </c>
    </row>
    <row r="22" spans="1:18" ht="20.100000000000001" customHeight="1" x14ac:dyDescent="0.3">
      <c r="A22" s="4" t="s">
        <v>18</v>
      </c>
      <c r="B22" s="4" t="s">
        <v>317</v>
      </c>
      <c r="C22" s="4" t="s">
        <v>318</v>
      </c>
      <c r="D22" s="4" t="s">
        <v>319</v>
      </c>
      <c r="E22" s="4">
        <v>23</v>
      </c>
      <c r="F22" s="4" t="s">
        <v>67</v>
      </c>
      <c r="G22" s="4" t="s">
        <v>210</v>
      </c>
      <c r="H22" s="5">
        <v>35812</v>
      </c>
      <c r="I22" s="4" t="str">
        <f t="shared" si="0"/>
        <v>samedi</v>
      </c>
      <c r="J22" s="4" t="str">
        <f t="shared" si="1"/>
        <v>janvier</v>
      </c>
      <c r="K22" s="4">
        <f t="shared" si="2"/>
        <v>1998</v>
      </c>
      <c r="L22" s="4">
        <f t="shared" ca="1" si="3"/>
        <v>27</v>
      </c>
      <c r="M22" s="4">
        <v>3</v>
      </c>
      <c r="N22" s="4">
        <v>1354</v>
      </c>
      <c r="O22" s="13">
        <v>3.5</v>
      </c>
      <c r="P22" s="13">
        <v>5.3</v>
      </c>
      <c r="Q22" s="13">
        <f t="shared" si="4"/>
        <v>4.4000000000000004</v>
      </c>
      <c r="R22" s="4" t="str">
        <f t="shared" si="5"/>
        <v>REUSSITE</v>
      </c>
    </row>
    <row r="23" spans="1:18" ht="20.100000000000001" customHeight="1" x14ac:dyDescent="0.3">
      <c r="A23" s="4" t="s">
        <v>18</v>
      </c>
      <c r="B23" s="4" t="s">
        <v>268</v>
      </c>
      <c r="C23" s="4" t="s">
        <v>269</v>
      </c>
      <c r="D23" s="4" t="s">
        <v>270</v>
      </c>
      <c r="E23" s="4">
        <v>42</v>
      </c>
      <c r="F23" s="4" t="s">
        <v>39</v>
      </c>
      <c r="G23" s="4" t="s">
        <v>48</v>
      </c>
      <c r="H23" s="5">
        <v>36380</v>
      </c>
      <c r="I23" s="4" t="str">
        <f t="shared" si="0"/>
        <v>dimanche</v>
      </c>
      <c r="J23" s="4" t="str">
        <f t="shared" si="1"/>
        <v>août</v>
      </c>
      <c r="K23" s="4">
        <f t="shared" si="2"/>
        <v>1999</v>
      </c>
      <c r="L23" s="4">
        <f t="shared" ca="1" si="3"/>
        <v>26</v>
      </c>
      <c r="M23" s="4">
        <v>2</v>
      </c>
      <c r="N23" s="4">
        <v>1075</v>
      </c>
      <c r="O23" s="13">
        <v>5.5</v>
      </c>
      <c r="P23" s="13">
        <v>5.3</v>
      </c>
      <c r="Q23" s="13">
        <f t="shared" si="4"/>
        <v>5.4</v>
      </c>
      <c r="R23" s="4" t="str">
        <f t="shared" si="5"/>
        <v>REUSSITE</v>
      </c>
    </row>
    <row r="24" spans="1:18" ht="20.100000000000001" customHeight="1" x14ac:dyDescent="0.3">
      <c r="A24" s="4" t="s">
        <v>18</v>
      </c>
      <c r="B24" s="4" t="s">
        <v>126</v>
      </c>
      <c r="C24" s="4" t="s">
        <v>127</v>
      </c>
      <c r="D24" s="4" t="s">
        <v>128</v>
      </c>
      <c r="E24" s="4">
        <v>14</v>
      </c>
      <c r="F24" s="4" t="s">
        <v>22</v>
      </c>
      <c r="G24" s="4" t="s">
        <v>125</v>
      </c>
      <c r="H24" s="5">
        <v>36848</v>
      </c>
      <c r="I24" s="4" t="str">
        <f t="shared" si="0"/>
        <v>samedi</v>
      </c>
      <c r="J24" s="4" t="str">
        <f t="shared" si="1"/>
        <v>novembre</v>
      </c>
      <c r="K24" s="4">
        <f t="shared" si="2"/>
        <v>2000</v>
      </c>
      <c r="L24" s="4">
        <f t="shared" ca="1" si="3"/>
        <v>25</v>
      </c>
      <c r="M24" s="4">
        <v>4</v>
      </c>
      <c r="N24" s="4">
        <v>1527</v>
      </c>
      <c r="O24" s="13">
        <v>4.4000000000000004</v>
      </c>
      <c r="P24" s="13">
        <v>4.5</v>
      </c>
      <c r="Q24" s="13">
        <f t="shared" si="4"/>
        <v>4.45</v>
      </c>
      <c r="R24" s="4" t="str">
        <f t="shared" si="5"/>
        <v>REUSSITE</v>
      </c>
    </row>
    <row r="25" spans="1:18" ht="20.100000000000001" customHeight="1" x14ac:dyDescent="0.3">
      <c r="A25" s="4" t="s">
        <v>12</v>
      </c>
      <c r="B25" s="4" t="s">
        <v>156</v>
      </c>
      <c r="C25" s="4" t="s">
        <v>157</v>
      </c>
      <c r="D25" s="4" t="s">
        <v>158</v>
      </c>
      <c r="E25" s="4">
        <v>45</v>
      </c>
      <c r="F25" s="4" t="s">
        <v>56</v>
      </c>
      <c r="G25" s="4" t="s">
        <v>87</v>
      </c>
      <c r="H25" s="5">
        <v>33419</v>
      </c>
      <c r="I25" s="4" t="str">
        <f t="shared" si="0"/>
        <v>dimanche</v>
      </c>
      <c r="J25" s="4" t="str">
        <f t="shared" si="1"/>
        <v>juin</v>
      </c>
      <c r="K25" s="4">
        <f t="shared" si="2"/>
        <v>1991</v>
      </c>
      <c r="L25" s="4">
        <f t="shared" ca="1" si="3"/>
        <v>34</v>
      </c>
      <c r="M25" s="4">
        <v>3</v>
      </c>
      <c r="N25" s="4">
        <v>1542</v>
      </c>
      <c r="O25" s="13">
        <v>2.9</v>
      </c>
      <c r="P25" s="13">
        <v>5.0999999999999996</v>
      </c>
      <c r="Q25" s="13">
        <f t="shared" si="4"/>
        <v>4</v>
      </c>
      <c r="R25" s="4" t="str">
        <f t="shared" si="5"/>
        <v>REUSSITE</v>
      </c>
    </row>
    <row r="26" spans="1:18" ht="20.100000000000001" customHeight="1" x14ac:dyDescent="0.3">
      <c r="A26" s="4" t="s">
        <v>12</v>
      </c>
      <c r="B26" s="4" t="s">
        <v>71</v>
      </c>
      <c r="C26" s="4" t="s">
        <v>72</v>
      </c>
      <c r="D26" s="4" t="s">
        <v>73</v>
      </c>
      <c r="E26" s="4">
        <v>31</v>
      </c>
      <c r="F26" s="4" t="s">
        <v>67</v>
      </c>
      <c r="G26" s="4" t="s">
        <v>74</v>
      </c>
      <c r="H26" s="5">
        <v>33469</v>
      </c>
      <c r="I26" s="4" t="str">
        <f t="shared" si="0"/>
        <v>lundi</v>
      </c>
      <c r="J26" s="4" t="str">
        <f t="shared" si="1"/>
        <v>août</v>
      </c>
      <c r="K26" s="4">
        <f t="shared" si="2"/>
        <v>1991</v>
      </c>
      <c r="L26" s="4">
        <f t="shared" ca="1" si="3"/>
        <v>34</v>
      </c>
      <c r="M26" s="4">
        <v>2</v>
      </c>
      <c r="N26" s="4">
        <v>1223</v>
      </c>
      <c r="O26" s="13">
        <v>3.1</v>
      </c>
      <c r="P26" s="13">
        <v>4.8</v>
      </c>
      <c r="Q26" s="13">
        <f t="shared" si="4"/>
        <v>3.95</v>
      </c>
      <c r="R26" s="4" t="str">
        <f t="shared" si="5"/>
        <v>ECHEC</v>
      </c>
    </row>
    <row r="27" spans="1:18" ht="20.100000000000001" customHeight="1" x14ac:dyDescent="0.3">
      <c r="A27" s="4" t="s">
        <v>12</v>
      </c>
      <c r="B27" s="4" t="s">
        <v>216</v>
      </c>
      <c r="C27" s="4" t="s">
        <v>217</v>
      </c>
      <c r="D27" s="4" t="s">
        <v>218</v>
      </c>
      <c r="E27" s="4">
        <v>12</v>
      </c>
      <c r="F27" s="4" t="s">
        <v>43</v>
      </c>
      <c r="G27" s="4" t="s">
        <v>32</v>
      </c>
      <c r="H27" s="5">
        <v>34818</v>
      </c>
      <c r="I27" s="4" t="str">
        <f t="shared" si="0"/>
        <v>samedi</v>
      </c>
      <c r="J27" s="4" t="str">
        <f t="shared" si="1"/>
        <v>avril</v>
      </c>
      <c r="K27" s="4">
        <f t="shared" si="2"/>
        <v>1995</v>
      </c>
      <c r="L27" s="4">
        <f t="shared" ca="1" si="3"/>
        <v>30</v>
      </c>
      <c r="M27" s="4">
        <v>3</v>
      </c>
      <c r="N27" s="4">
        <v>1514</v>
      </c>
      <c r="O27" s="13">
        <v>3</v>
      </c>
      <c r="P27" s="13">
        <v>3.9</v>
      </c>
      <c r="Q27" s="13">
        <f t="shared" si="4"/>
        <v>3.45</v>
      </c>
      <c r="R27" s="4" t="str">
        <f t="shared" si="5"/>
        <v>ECHEC</v>
      </c>
    </row>
    <row r="28" spans="1:18" ht="20.100000000000001" customHeight="1" x14ac:dyDescent="0.3">
      <c r="A28" s="4" t="s">
        <v>12</v>
      </c>
      <c r="B28" s="4" t="s">
        <v>305</v>
      </c>
      <c r="C28" s="4" t="s">
        <v>306</v>
      </c>
      <c r="D28" s="4" t="s">
        <v>307</v>
      </c>
      <c r="E28" s="4">
        <v>47</v>
      </c>
      <c r="F28" s="4" t="s">
        <v>16</v>
      </c>
      <c r="G28" s="4" t="s">
        <v>210</v>
      </c>
      <c r="H28" s="5">
        <v>36130</v>
      </c>
      <c r="I28" s="4" t="str">
        <f t="shared" si="0"/>
        <v>mardi</v>
      </c>
      <c r="J28" s="4" t="str">
        <f t="shared" si="1"/>
        <v>décembre</v>
      </c>
      <c r="K28" s="4">
        <f t="shared" si="2"/>
        <v>1998</v>
      </c>
      <c r="L28" s="4">
        <f t="shared" ca="1" si="3"/>
        <v>27</v>
      </c>
      <c r="M28" s="4">
        <v>1</v>
      </c>
      <c r="N28" s="4">
        <v>703</v>
      </c>
      <c r="O28" s="13">
        <v>4</v>
      </c>
      <c r="P28" s="13">
        <v>4.9000000000000004</v>
      </c>
      <c r="Q28" s="13">
        <f t="shared" si="4"/>
        <v>4.45</v>
      </c>
      <c r="R28" s="4" t="str">
        <f t="shared" si="5"/>
        <v>REUSSITE</v>
      </c>
    </row>
    <row r="29" spans="1:18" ht="20.100000000000001" customHeight="1" x14ac:dyDescent="0.3">
      <c r="A29" s="4" t="s">
        <v>12</v>
      </c>
      <c r="B29" s="4" t="s">
        <v>81</v>
      </c>
      <c r="C29" s="4" t="s">
        <v>82</v>
      </c>
      <c r="D29" s="4" t="s">
        <v>83</v>
      </c>
      <c r="E29" s="4">
        <v>5</v>
      </c>
      <c r="F29" s="4" t="s">
        <v>39</v>
      </c>
      <c r="G29" s="4" t="s">
        <v>32</v>
      </c>
      <c r="H29" s="5">
        <v>37232</v>
      </c>
      <c r="I29" s="4" t="str">
        <f t="shared" si="0"/>
        <v>vendredi</v>
      </c>
      <c r="J29" s="4" t="str">
        <f t="shared" si="1"/>
        <v>décembre</v>
      </c>
      <c r="K29" s="4">
        <f t="shared" si="2"/>
        <v>2001</v>
      </c>
      <c r="L29" s="4">
        <f t="shared" ca="1" si="3"/>
        <v>24</v>
      </c>
      <c r="M29" s="4">
        <v>4</v>
      </c>
      <c r="N29" s="4">
        <v>1526</v>
      </c>
      <c r="O29" s="13">
        <v>3.3</v>
      </c>
      <c r="P29" s="13">
        <v>5.4</v>
      </c>
      <c r="Q29" s="13">
        <f t="shared" si="4"/>
        <v>4.3499999999999996</v>
      </c>
      <c r="R29" s="4" t="str">
        <f t="shared" si="5"/>
        <v>REUSSITE</v>
      </c>
    </row>
    <row r="30" spans="1:18" ht="20.100000000000001" customHeight="1" x14ac:dyDescent="0.3">
      <c r="A30" s="4" t="s">
        <v>18</v>
      </c>
      <c r="B30" s="4" t="s">
        <v>204</v>
      </c>
      <c r="C30" s="4" t="s">
        <v>205</v>
      </c>
      <c r="D30" s="4" t="s">
        <v>206</v>
      </c>
      <c r="E30" s="4">
        <v>33</v>
      </c>
      <c r="F30" s="4" t="s">
        <v>22</v>
      </c>
      <c r="G30" s="4" t="s">
        <v>52</v>
      </c>
      <c r="H30" s="5">
        <v>37413</v>
      </c>
      <c r="I30" s="4" t="str">
        <f t="shared" si="0"/>
        <v>jeudi</v>
      </c>
      <c r="J30" s="4" t="str">
        <f t="shared" si="1"/>
        <v>juin</v>
      </c>
      <c r="K30" s="4">
        <f t="shared" si="2"/>
        <v>2002</v>
      </c>
      <c r="L30" s="4">
        <f t="shared" ca="1" si="3"/>
        <v>23</v>
      </c>
      <c r="M30" s="4">
        <v>1</v>
      </c>
      <c r="N30" s="4">
        <v>789</v>
      </c>
      <c r="O30" s="13">
        <v>4.8</v>
      </c>
      <c r="P30" s="13">
        <v>4</v>
      </c>
      <c r="Q30" s="13">
        <f t="shared" si="4"/>
        <v>4.4000000000000004</v>
      </c>
      <c r="R30" s="4" t="str">
        <f t="shared" si="5"/>
        <v>REUSSITE</v>
      </c>
    </row>
    <row r="31" spans="1:18" ht="20.100000000000001" customHeight="1" x14ac:dyDescent="0.3">
      <c r="A31" s="4" t="s">
        <v>18</v>
      </c>
      <c r="B31" s="4" t="s">
        <v>84</v>
      </c>
      <c r="C31" s="4" t="s">
        <v>85</v>
      </c>
      <c r="D31" s="4" t="s">
        <v>86</v>
      </c>
      <c r="E31" s="4">
        <v>31</v>
      </c>
      <c r="F31" s="4" t="s">
        <v>56</v>
      </c>
      <c r="G31" s="4" t="s">
        <v>87</v>
      </c>
      <c r="H31" s="5">
        <v>33859</v>
      </c>
      <c r="I31" s="4" t="str">
        <f t="shared" si="0"/>
        <v>samedi</v>
      </c>
      <c r="J31" s="4" t="str">
        <f t="shared" si="1"/>
        <v>septembre</v>
      </c>
      <c r="K31" s="4">
        <f t="shared" si="2"/>
        <v>1992</v>
      </c>
      <c r="L31" s="4">
        <f t="shared" ca="1" si="3"/>
        <v>33</v>
      </c>
      <c r="M31" s="4">
        <v>3</v>
      </c>
      <c r="N31" s="4">
        <v>1477</v>
      </c>
      <c r="O31" s="13">
        <v>3.5</v>
      </c>
      <c r="P31" s="13">
        <v>4.3</v>
      </c>
      <c r="Q31" s="13">
        <f t="shared" si="4"/>
        <v>3.9</v>
      </c>
      <c r="R31" s="4" t="str">
        <f t="shared" si="5"/>
        <v>ECHEC</v>
      </c>
    </row>
    <row r="32" spans="1:18" ht="20.100000000000001" customHeight="1" x14ac:dyDescent="0.3">
      <c r="A32" s="4" t="s">
        <v>18</v>
      </c>
      <c r="B32" s="4" t="s">
        <v>60</v>
      </c>
      <c r="C32" s="4" t="s">
        <v>61</v>
      </c>
      <c r="D32" s="4" t="s">
        <v>62</v>
      </c>
      <c r="E32" s="4">
        <v>2</v>
      </c>
      <c r="F32" s="4" t="s">
        <v>63</v>
      </c>
      <c r="G32" s="4" t="s">
        <v>28</v>
      </c>
      <c r="H32" s="5">
        <v>37123</v>
      </c>
      <c r="I32" s="4" t="str">
        <f t="shared" si="0"/>
        <v>lundi</v>
      </c>
      <c r="J32" s="4" t="str">
        <f t="shared" si="1"/>
        <v>août</v>
      </c>
      <c r="K32" s="4">
        <f t="shared" si="2"/>
        <v>2001</v>
      </c>
      <c r="L32" s="4">
        <f t="shared" ca="1" si="3"/>
        <v>24</v>
      </c>
      <c r="M32" s="4">
        <v>1</v>
      </c>
      <c r="N32" s="4">
        <v>709</v>
      </c>
      <c r="O32" s="13">
        <v>3.7</v>
      </c>
      <c r="P32" s="13">
        <v>5.3</v>
      </c>
      <c r="Q32" s="13">
        <f t="shared" si="4"/>
        <v>4.5</v>
      </c>
      <c r="R32" s="4" t="str">
        <f t="shared" si="5"/>
        <v>REUSSITE</v>
      </c>
    </row>
    <row r="33" spans="1:18" ht="20.100000000000001" customHeight="1" x14ac:dyDescent="0.3">
      <c r="A33" s="4" t="s">
        <v>18</v>
      </c>
      <c r="B33" s="4" t="s">
        <v>246</v>
      </c>
      <c r="C33" s="4" t="s">
        <v>247</v>
      </c>
      <c r="D33" s="4" t="s">
        <v>248</v>
      </c>
      <c r="E33" s="4">
        <v>41</v>
      </c>
      <c r="F33" s="4" t="s">
        <v>63</v>
      </c>
      <c r="G33" s="4" t="s">
        <v>17</v>
      </c>
      <c r="H33" s="5">
        <v>36512</v>
      </c>
      <c r="I33" s="4" t="str">
        <f t="shared" si="0"/>
        <v>samedi</v>
      </c>
      <c r="J33" s="4" t="str">
        <f t="shared" si="1"/>
        <v>décembre</v>
      </c>
      <c r="K33" s="4">
        <f t="shared" si="2"/>
        <v>1999</v>
      </c>
      <c r="L33" s="4">
        <f t="shared" ca="1" si="3"/>
        <v>26</v>
      </c>
      <c r="M33" s="4">
        <v>1</v>
      </c>
      <c r="N33" s="4">
        <v>744</v>
      </c>
      <c r="O33" s="13">
        <v>5.2</v>
      </c>
      <c r="P33" s="13">
        <v>5.9</v>
      </c>
      <c r="Q33" s="13">
        <f t="shared" si="4"/>
        <v>5.5500000000000007</v>
      </c>
      <c r="R33" s="4" t="str">
        <f t="shared" si="5"/>
        <v>REUSSITE</v>
      </c>
    </row>
    <row r="34" spans="1:18" ht="20.100000000000001" customHeight="1" x14ac:dyDescent="0.3">
      <c r="A34" s="4" t="s">
        <v>12</v>
      </c>
      <c r="B34" s="4" t="s">
        <v>110</v>
      </c>
      <c r="C34" s="4" t="s">
        <v>111</v>
      </c>
      <c r="D34" s="4" t="s">
        <v>112</v>
      </c>
      <c r="E34" s="4">
        <v>42</v>
      </c>
      <c r="F34" s="4" t="s">
        <v>22</v>
      </c>
      <c r="G34" s="4" t="s">
        <v>23</v>
      </c>
      <c r="H34" s="5">
        <v>36408</v>
      </c>
      <c r="I34" s="4" t="str">
        <f t="shared" ref="I34:I65" si="6">TEXT(H34,"jjjj")</f>
        <v>dimanche</v>
      </c>
      <c r="J34" s="4" t="str">
        <f t="shared" ref="J34:J65" si="7">TEXT(H34,"mmmm")</f>
        <v>septembre</v>
      </c>
      <c r="K34" s="4">
        <f t="shared" ref="K34:K65" si="8">YEAR(H34)</f>
        <v>1999</v>
      </c>
      <c r="L34" s="4">
        <f t="shared" ref="L34:L65" ca="1" si="9">YEAR(TODAY())-K34</f>
        <v>26</v>
      </c>
      <c r="M34" s="4">
        <v>1</v>
      </c>
      <c r="N34" s="4">
        <v>711</v>
      </c>
      <c r="O34" s="13">
        <v>5.5</v>
      </c>
      <c r="P34" s="13">
        <v>4.5999999999999996</v>
      </c>
      <c r="Q34" s="13">
        <f t="shared" ref="Q34:Q65" si="10">AVERAGE(O34,P34)</f>
        <v>5.05</v>
      </c>
      <c r="R34" s="4" t="str">
        <f t="shared" ref="R34:R65" si="11">IF(Q34&lt;4,"ECHEC","REUSSITE")</f>
        <v>REUSSITE</v>
      </c>
    </row>
    <row r="35" spans="1:18" ht="20.100000000000001" customHeight="1" x14ac:dyDescent="0.3">
      <c r="A35" s="4" t="s">
        <v>12</v>
      </c>
      <c r="B35" s="4" t="s">
        <v>228</v>
      </c>
      <c r="C35" s="4" t="s">
        <v>229</v>
      </c>
      <c r="D35" s="4" t="s">
        <v>230</v>
      </c>
      <c r="E35" s="4">
        <v>16</v>
      </c>
      <c r="F35" s="4" t="s">
        <v>22</v>
      </c>
      <c r="G35" s="4" t="s">
        <v>28</v>
      </c>
      <c r="H35" s="5">
        <v>35098</v>
      </c>
      <c r="I35" s="4" t="str">
        <f t="shared" si="6"/>
        <v>samedi</v>
      </c>
      <c r="J35" s="4" t="str">
        <f t="shared" si="7"/>
        <v>février</v>
      </c>
      <c r="K35" s="4">
        <f t="shared" si="8"/>
        <v>1996</v>
      </c>
      <c r="L35" s="4">
        <f t="shared" ca="1" si="9"/>
        <v>29</v>
      </c>
      <c r="M35" s="4">
        <v>1</v>
      </c>
      <c r="N35" s="4">
        <v>790</v>
      </c>
      <c r="O35" s="13">
        <v>5.4</v>
      </c>
      <c r="P35" s="13">
        <v>4.8</v>
      </c>
      <c r="Q35" s="13">
        <f t="shared" si="10"/>
        <v>5.0999999999999996</v>
      </c>
      <c r="R35" s="4" t="str">
        <f t="shared" si="11"/>
        <v>REUSSITE</v>
      </c>
    </row>
    <row r="36" spans="1:18" ht="20.100000000000001" customHeight="1" x14ac:dyDescent="0.3">
      <c r="A36" s="4" t="s">
        <v>12</v>
      </c>
      <c r="B36" s="4" t="s">
        <v>13</v>
      </c>
      <c r="C36" s="4" t="s">
        <v>14</v>
      </c>
      <c r="D36" s="4" t="s">
        <v>15</v>
      </c>
      <c r="E36" s="4">
        <v>11</v>
      </c>
      <c r="F36" s="4" t="s">
        <v>16</v>
      </c>
      <c r="G36" s="4" t="s">
        <v>17</v>
      </c>
      <c r="H36" s="5">
        <v>34700</v>
      </c>
      <c r="I36" s="4" t="str">
        <f t="shared" si="6"/>
        <v>dimanche</v>
      </c>
      <c r="J36" s="4" t="str">
        <f t="shared" si="7"/>
        <v>janvier</v>
      </c>
      <c r="K36" s="4">
        <f t="shared" si="8"/>
        <v>1995</v>
      </c>
      <c r="L36" s="4">
        <f t="shared" ca="1" si="9"/>
        <v>30</v>
      </c>
      <c r="M36" s="4">
        <v>1</v>
      </c>
      <c r="N36" s="4">
        <v>734</v>
      </c>
      <c r="O36" s="13">
        <v>3.7</v>
      </c>
      <c r="P36" s="13">
        <v>3.5</v>
      </c>
      <c r="Q36" s="13">
        <f t="shared" si="10"/>
        <v>3.6</v>
      </c>
      <c r="R36" s="4" t="str">
        <f t="shared" si="11"/>
        <v>ECHEC</v>
      </c>
    </row>
    <row r="37" spans="1:18" ht="20.100000000000001" customHeight="1" x14ac:dyDescent="0.3">
      <c r="A37" s="4" t="s">
        <v>12</v>
      </c>
      <c r="B37" s="4" t="s">
        <v>68</v>
      </c>
      <c r="C37" s="4" t="s">
        <v>69</v>
      </c>
      <c r="D37" s="4" t="s">
        <v>70</v>
      </c>
      <c r="E37" s="4">
        <v>4</v>
      </c>
      <c r="F37" s="4" t="s">
        <v>56</v>
      </c>
      <c r="G37" s="4" t="s">
        <v>32</v>
      </c>
      <c r="H37" s="5">
        <v>36012</v>
      </c>
      <c r="I37" s="4" t="str">
        <f t="shared" si="6"/>
        <v>mercredi</v>
      </c>
      <c r="J37" s="4" t="str">
        <f t="shared" si="7"/>
        <v>août</v>
      </c>
      <c r="K37" s="4">
        <f t="shared" si="8"/>
        <v>1998</v>
      </c>
      <c r="L37" s="4">
        <f t="shared" ca="1" si="9"/>
        <v>27</v>
      </c>
      <c r="M37" s="4">
        <v>3</v>
      </c>
      <c r="N37" s="4">
        <v>1427</v>
      </c>
      <c r="O37" s="13">
        <v>5</v>
      </c>
      <c r="P37" s="13">
        <v>3.8</v>
      </c>
      <c r="Q37" s="13">
        <f t="shared" si="10"/>
        <v>4.4000000000000004</v>
      </c>
      <c r="R37" s="4" t="str">
        <f t="shared" si="11"/>
        <v>REUSSITE</v>
      </c>
    </row>
    <row r="38" spans="1:18" ht="20.100000000000001" customHeight="1" x14ac:dyDescent="0.3">
      <c r="A38" s="4" t="s">
        <v>18</v>
      </c>
      <c r="B38" s="4" t="s">
        <v>222</v>
      </c>
      <c r="C38" s="4" t="s">
        <v>223</v>
      </c>
      <c r="D38" s="4" t="s">
        <v>224</v>
      </c>
      <c r="E38" s="4">
        <v>19</v>
      </c>
      <c r="F38" s="4" t="s">
        <v>22</v>
      </c>
      <c r="G38" s="4" t="s">
        <v>48</v>
      </c>
      <c r="H38" s="5">
        <v>36747</v>
      </c>
      <c r="I38" s="4" t="str">
        <f t="shared" si="6"/>
        <v>mercredi</v>
      </c>
      <c r="J38" s="4" t="str">
        <f t="shared" si="7"/>
        <v>août</v>
      </c>
      <c r="K38" s="4">
        <f t="shared" si="8"/>
        <v>2000</v>
      </c>
      <c r="L38" s="4">
        <f t="shared" ca="1" si="9"/>
        <v>25</v>
      </c>
      <c r="M38" s="4">
        <v>4</v>
      </c>
      <c r="N38" s="4">
        <v>1638</v>
      </c>
      <c r="O38" s="13">
        <v>5.2</v>
      </c>
      <c r="P38" s="13">
        <v>4.8</v>
      </c>
      <c r="Q38" s="13">
        <f t="shared" si="10"/>
        <v>5</v>
      </c>
      <c r="R38" s="4" t="str">
        <f t="shared" si="11"/>
        <v>REUSSITE</v>
      </c>
    </row>
    <row r="39" spans="1:18" ht="20.100000000000001" customHeight="1" x14ac:dyDescent="0.3">
      <c r="A39" s="4" t="s">
        <v>12</v>
      </c>
      <c r="B39" s="4" t="s">
        <v>45</v>
      </c>
      <c r="C39" s="4" t="s">
        <v>46</v>
      </c>
      <c r="D39" s="4" t="s">
        <v>47</v>
      </c>
      <c r="E39" s="4">
        <v>5</v>
      </c>
      <c r="F39" s="4" t="s">
        <v>16</v>
      </c>
      <c r="G39" s="4" t="s">
        <v>48</v>
      </c>
      <c r="H39" s="5">
        <v>34219</v>
      </c>
      <c r="I39" s="4" t="str">
        <f t="shared" si="6"/>
        <v>mardi</v>
      </c>
      <c r="J39" s="4" t="str">
        <f t="shared" si="7"/>
        <v>septembre</v>
      </c>
      <c r="K39" s="4">
        <f t="shared" si="8"/>
        <v>1993</v>
      </c>
      <c r="L39" s="4">
        <f t="shared" ca="1" si="9"/>
        <v>32</v>
      </c>
      <c r="M39" s="4">
        <v>2</v>
      </c>
      <c r="N39" s="4">
        <v>1255</v>
      </c>
      <c r="O39" s="13">
        <v>3.7</v>
      </c>
      <c r="P39" s="13">
        <v>4.5999999999999996</v>
      </c>
      <c r="Q39" s="13">
        <f t="shared" si="10"/>
        <v>4.1500000000000004</v>
      </c>
      <c r="R39" s="4" t="str">
        <f t="shared" si="11"/>
        <v>REUSSITE</v>
      </c>
    </row>
    <row r="40" spans="1:18" ht="20.100000000000001" customHeight="1" x14ac:dyDescent="0.3">
      <c r="A40" s="4" t="s">
        <v>18</v>
      </c>
      <c r="B40" s="4" t="s">
        <v>165</v>
      </c>
      <c r="C40" s="4" t="s">
        <v>166</v>
      </c>
      <c r="D40" s="4" t="s">
        <v>167</v>
      </c>
      <c r="E40" s="4">
        <v>17</v>
      </c>
      <c r="F40" s="4" t="s">
        <v>56</v>
      </c>
      <c r="G40" s="4" t="s">
        <v>125</v>
      </c>
      <c r="H40" s="5">
        <v>34296</v>
      </c>
      <c r="I40" s="4" t="str">
        <f t="shared" si="6"/>
        <v>mardi</v>
      </c>
      <c r="J40" s="4" t="str">
        <f t="shared" si="7"/>
        <v>novembre</v>
      </c>
      <c r="K40" s="4">
        <f t="shared" si="8"/>
        <v>1993</v>
      </c>
      <c r="L40" s="4">
        <f t="shared" ca="1" si="9"/>
        <v>32</v>
      </c>
      <c r="M40" s="4">
        <v>3</v>
      </c>
      <c r="N40" s="4">
        <v>1255</v>
      </c>
      <c r="O40" s="13">
        <v>2.5</v>
      </c>
      <c r="P40" s="13">
        <v>4.2</v>
      </c>
      <c r="Q40" s="13">
        <f t="shared" si="10"/>
        <v>3.35</v>
      </c>
      <c r="R40" s="4" t="str">
        <f t="shared" si="11"/>
        <v>ECHEC</v>
      </c>
    </row>
    <row r="41" spans="1:18" ht="20.100000000000001" customHeight="1" x14ac:dyDescent="0.3">
      <c r="A41" s="4" t="s">
        <v>12</v>
      </c>
      <c r="B41" s="4" t="s">
        <v>29</v>
      </c>
      <c r="C41" s="4" t="s">
        <v>30</v>
      </c>
      <c r="D41" s="4" t="s">
        <v>31</v>
      </c>
      <c r="E41" s="4">
        <v>25</v>
      </c>
      <c r="F41" s="4" t="s">
        <v>16</v>
      </c>
      <c r="G41" s="4" t="s">
        <v>32</v>
      </c>
      <c r="H41" s="5">
        <v>37159</v>
      </c>
      <c r="I41" s="4" t="str">
        <f t="shared" si="6"/>
        <v>mardi</v>
      </c>
      <c r="J41" s="4" t="str">
        <f t="shared" si="7"/>
        <v>septembre</v>
      </c>
      <c r="K41" s="4">
        <f t="shared" si="8"/>
        <v>2001</v>
      </c>
      <c r="L41" s="4">
        <f t="shared" ca="1" si="9"/>
        <v>24</v>
      </c>
      <c r="M41" s="4">
        <v>1</v>
      </c>
      <c r="N41" s="4">
        <v>769</v>
      </c>
      <c r="O41" s="13">
        <v>3.3</v>
      </c>
      <c r="P41" s="13">
        <v>3.8</v>
      </c>
      <c r="Q41" s="13">
        <f t="shared" si="10"/>
        <v>3.55</v>
      </c>
      <c r="R41" s="4" t="str">
        <f t="shared" si="11"/>
        <v>ECHEC</v>
      </c>
    </row>
    <row r="42" spans="1:18" ht="20.100000000000001" customHeight="1" x14ac:dyDescent="0.3">
      <c r="A42" s="4" t="s">
        <v>18</v>
      </c>
      <c r="B42" s="4" t="s">
        <v>107</v>
      </c>
      <c r="C42" s="4" t="s">
        <v>108</v>
      </c>
      <c r="D42" s="4" t="s">
        <v>109</v>
      </c>
      <c r="E42" s="4">
        <v>14</v>
      </c>
      <c r="F42" s="4" t="s">
        <v>27</v>
      </c>
      <c r="G42" s="4" t="s">
        <v>23</v>
      </c>
      <c r="H42" s="5">
        <v>36250</v>
      </c>
      <c r="I42" s="4" t="str">
        <f t="shared" si="6"/>
        <v>mercredi</v>
      </c>
      <c r="J42" s="4" t="str">
        <f t="shared" si="7"/>
        <v>mars</v>
      </c>
      <c r="K42" s="4">
        <f t="shared" si="8"/>
        <v>1999</v>
      </c>
      <c r="L42" s="4">
        <f t="shared" ca="1" si="9"/>
        <v>26</v>
      </c>
      <c r="M42" s="4">
        <v>3</v>
      </c>
      <c r="N42" s="4">
        <v>1200</v>
      </c>
      <c r="O42" s="13">
        <v>5.2</v>
      </c>
      <c r="P42" s="13">
        <v>5.3</v>
      </c>
      <c r="Q42" s="13">
        <f t="shared" si="10"/>
        <v>5.25</v>
      </c>
      <c r="R42" s="4" t="str">
        <f t="shared" si="11"/>
        <v>REUSSITE</v>
      </c>
    </row>
    <row r="43" spans="1:18" ht="20.100000000000001" customHeight="1" x14ac:dyDescent="0.3">
      <c r="A43" s="4" t="s">
        <v>18</v>
      </c>
      <c r="B43" s="4" t="s">
        <v>104</v>
      </c>
      <c r="C43" s="4" t="s">
        <v>105</v>
      </c>
      <c r="D43" s="4" t="s">
        <v>106</v>
      </c>
      <c r="E43" s="4">
        <v>46</v>
      </c>
      <c r="F43" s="4" t="s">
        <v>39</v>
      </c>
      <c r="G43" s="4" t="s">
        <v>17</v>
      </c>
      <c r="H43" s="5">
        <v>34430</v>
      </c>
      <c r="I43" s="4" t="str">
        <f t="shared" si="6"/>
        <v>mercredi</v>
      </c>
      <c r="J43" s="4" t="str">
        <f t="shared" si="7"/>
        <v>avril</v>
      </c>
      <c r="K43" s="4">
        <f t="shared" si="8"/>
        <v>1994</v>
      </c>
      <c r="L43" s="4">
        <f t="shared" ca="1" si="9"/>
        <v>31</v>
      </c>
      <c r="M43" s="4">
        <v>3</v>
      </c>
      <c r="N43" s="4">
        <v>1456</v>
      </c>
      <c r="O43" s="13">
        <v>3.3</v>
      </c>
      <c r="P43" s="13">
        <v>4.4000000000000004</v>
      </c>
      <c r="Q43" s="13">
        <f t="shared" si="10"/>
        <v>3.85</v>
      </c>
      <c r="R43" s="4" t="str">
        <f t="shared" si="11"/>
        <v>ECHEC</v>
      </c>
    </row>
    <row r="44" spans="1:18" ht="20.100000000000001" customHeight="1" x14ac:dyDescent="0.3">
      <c r="A44" s="4" t="s">
        <v>18</v>
      </c>
      <c r="B44" s="4" t="s">
        <v>282</v>
      </c>
      <c r="C44" s="4" t="s">
        <v>272</v>
      </c>
      <c r="D44" s="4" t="s">
        <v>283</v>
      </c>
      <c r="E44" s="4">
        <v>4</v>
      </c>
      <c r="F44" s="4" t="s">
        <v>16</v>
      </c>
      <c r="G44" s="4" t="s">
        <v>125</v>
      </c>
      <c r="H44" s="5">
        <v>35643</v>
      </c>
      <c r="I44" s="4" t="str">
        <f t="shared" si="6"/>
        <v>vendredi</v>
      </c>
      <c r="J44" s="4" t="str">
        <f t="shared" si="7"/>
        <v>août</v>
      </c>
      <c r="K44" s="4">
        <f t="shared" si="8"/>
        <v>1997</v>
      </c>
      <c r="L44" s="4">
        <f t="shared" ca="1" si="9"/>
        <v>28</v>
      </c>
      <c r="M44" s="4">
        <v>1</v>
      </c>
      <c r="N44" s="4">
        <v>709</v>
      </c>
      <c r="O44" s="13">
        <v>3.8</v>
      </c>
      <c r="P44" s="13">
        <v>4</v>
      </c>
      <c r="Q44" s="13">
        <f t="shared" si="10"/>
        <v>3.9</v>
      </c>
      <c r="R44" s="4" t="str">
        <f t="shared" si="11"/>
        <v>ECHEC</v>
      </c>
    </row>
    <row r="45" spans="1:18" ht="20.100000000000001" customHeight="1" x14ac:dyDescent="0.3">
      <c r="A45" s="4" t="s">
        <v>12</v>
      </c>
      <c r="B45" s="4" t="s">
        <v>57</v>
      </c>
      <c r="C45" s="4" t="s">
        <v>58</v>
      </c>
      <c r="D45" s="4" t="s">
        <v>59</v>
      </c>
      <c r="E45" s="4">
        <v>21</v>
      </c>
      <c r="F45" s="4" t="s">
        <v>56</v>
      </c>
      <c r="G45" s="4" t="s">
        <v>17</v>
      </c>
      <c r="H45" s="5">
        <v>33566</v>
      </c>
      <c r="I45" s="4" t="str">
        <f t="shared" si="6"/>
        <v>dimanche</v>
      </c>
      <c r="J45" s="4" t="str">
        <f t="shared" si="7"/>
        <v>novembre</v>
      </c>
      <c r="K45" s="4">
        <f t="shared" si="8"/>
        <v>1991</v>
      </c>
      <c r="L45" s="4">
        <f t="shared" ca="1" si="9"/>
        <v>34</v>
      </c>
      <c r="M45" s="4">
        <v>2</v>
      </c>
      <c r="N45" s="4">
        <v>1245</v>
      </c>
      <c r="O45" s="13">
        <v>4.8</v>
      </c>
      <c r="P45" s="13">
        <v>4.4000000000000004</v>
      </c>
      <c r="Q45" s="13">
        <f t="shared" si="10"/>
        <v>4.5999999999999996</v>
      </c>
      <c r="R45" s="4" t="str">
        <f t="shared" si="11"/>
        <v>REUSSITE</v>
      </c>
    </row>
    <row r="46" spans="1:18" ht="20.100000000000001" customHeight="1" x14ac:dyDescent="0.3">
      <c r="A46" s="4" t="s">
        <v>18</v>
      </c>
      <c r="B46" s="4" t="s">
        <v>116</v>
      </c>
      <c r="C46" s="4" t="s">
        <v>117</v>
      </c>
      <c r="D46" s="4" t="s">
        <v>118</v>
      </c>
      <c r="E46" s="4">
        <v>33</v>
      </c>
      <c r="F46" s="4" t="s">
        <v>67</v>
      </c>
      <c r="G46" s="4" t="s">
        <v>100</v>
      </c>
      <c r="H46" s="5">
        <v>33549</v>
      </c>
      <c r="I46" s="4" t="str">
        <f t="shared" si="6"/>
        <v>jeudi</v>
      </c>
      <c r="J46" s="4" t="str">
        <f t="shared" si="7"/>
        <v>novembre</v>
      </c>
      <c r="K46" s="4">
        <f t="shared" si="8"/>
        <v>1991</v>
      </c>
      <c r="L46" s="4">
        <f t="shared" ca="1" si="9"/>
        <v>34</v>
      </c>
      <c r="M46" s="4">
        <v>3</v>
      </c>
      <c r="N46" s="4">
        <v>1315</v>
      </c>
      <c r="O46" s="13">
        <v>4.3</v>
      </c>
      <c r="P46" s="13">
        <v>6</v>
      </c>
      <c r="Q46" s="13">
        <f t="shared" si="10"/>
        <v>5.15</v>
      </c>
      <c r="R46" s="4" t="str">
        <f t="shared" si="11"/>
        <v>REUSSITE</v>
      </c>
    </row>
    <row r="47" spans="1:18" ht="20.100000000000001" customHeight="1" x14ac:dyDescent="0.3">
      <c r="A47" s="4" t="s">
        <v>18</v>
      </c>
      <c r="B47" s="4" t="s">
        <v>159</v>
      </c>
      <c r="C47" s="4" t="s">
        <v>160</v>
      </c>
      <c r="D47" s="4" t="s">
        <v>161</v>
      </c>
      <c r="E47" s="4">
        <v>26</v>
      </c>
      <c r="F47" s="4" t="s">
        <v>43</v>
      </c>
      <c r="G47" s="4" t="s">
        <v>48</v>
      </c>
      <c r="H47" s="5">
        <v>37344</v>
      </c>
      <c r="I47" s="4" t="str">
        <f t="shared" si="6"/>
        <v>vendredi</v>
      </c>
      <c r="J47" s="4" t="str">
        <f t="shared" si="7"/>
        <v>mars</v>
      </c>
      <c r="K47" s="4">
        <f t="shared" si="8"/>
        <v>2002</v>
      </c>
      <c r="L47" s="4">
        <f t="shared" ca="1" si="9"/>
        <v>23</v>
      </c>
      <c r="M47" s="4">
        <v>2</v>
      </c>
      <c r="N47" s="4">
        <v>1106</v>
      </c>
      <c r="O47" s="13">
        <v>4.5</v>
      </c>
      <c r="P47" s="13">
        <v>5.6</v>
      </c>
      <c r="Q47" s="13">
        <f t="shared" si="10"/>
        <v>5.05</v>
      </c>
      <c r="R47" s="4" t="str">
        <f t="shared" si="11"/>
        <v>REUSSITE</v>
      </c>
    </row>
    <row r="48" spans="1:18" ht="20.100000000000001" customHeight="1" x14ac:dyDescent="0.3">
      <c r="A48" s="4" t="s">
        <v>12</v>
      </c>
      <c r="B48" s="4" t="s">
        <v>177</v>
      </c>
      <c r="C48" s="4" t="s">
        <v>178</v>
      </c>
      <c r="D48" s="4" t="s">
        <v>179</v>
      </c>
      <c r="E48" s="4">
        <v>17</v>
      </c>
      <c r="F48" s="4" t="s">
        <v>16</v>
      </c>
      <c r="G48" s="4" t="s">
        <v>44</v>
      </c>
      <c r="H48" s="5">
        <v>36798</v>
      </c>
      <c r="I48" s="4" t="str">
        <f t="shared" si="6"/>
        <v>vendredi</v>
      </c>
      <c r="J48" s="4" t="str">
        <f t="shared" si="7"/>
        <v>septembre</v>
      </c>
      <c r="K48" s="4">
        <f t="shared" si="8"/>
        <v>2000</v>
      </c>
      <c r="L48" s="4">
        <f t="shared" ca="1" si="9"/>
        <v>25</v>
      </c>
      <c r="M48" s="4">
        <v>4</v>
      </c>
      <c r="N48" s="4">
        <v>1617</v>
      </c>
      <c r="O48" s="13">
        <v>5.5</v>
      </c>
      <c r="P48" s="13">
        <v>4.8</v>
      </c>
      <c r="Q48" s="13">
        <f t="shared" si="10"/>
        <v>5.15</v>
      </c>
      <c r="R48" s="4" t="str">
        <f t="shared" si="11"/>
        <v>REUSSITE</v>
      </c>
    </row>
    <row r="49" spans="1:18" ht="20.100000000000001" customHeight="1" x14ac:dyDescent="0.3">
      <c r="A49" s="4" t="s">
        <v>12</v>
      </c>
      <c r="B49" s="4" t="s">
        <v>162</v>
      </c>
      <c r="C49" s="4" t="s">
        <v>163</v>
      </c>
      <c r="D49" s="4" t="s">
        <v>164</v>
      </c>
      <c r="E49" s="4">
        <v>28</v>
      </c>
      <c r="F49" s="4" t="s">
        <v>67</v>
      </c>
      <c r="G49" s="4" t="s">
        <v>17</v>
      </c>
      <c r="H49" s="5">
        <v>37285</v>
      </c>
      <c r="I49" s="4" t="str">
        <f t="shared" si="6"/>
        <v>mardi</v>
      </c>
      <c r="J49" s="4" t="str">
        <f t="shared" si="7"/>
        <v>janvier</v>
      </c>
      <c r="K49" s="4">
        <f t="shared" si="8"/>
        <v>2002</v>
      </c>
      <c r="L49" s="4">
        <f t="shared" ca="1" si="9"/>
        <v>23</v>
      </c>
      <c r="M49" s="4">
        <v>1</v>
      </c>
      <c r="N49" s="4">
        <v>746</v>
      </c>
      <c r="O49" s="13">
        <v>5.0999999999999996</v>
      </c>
      <c r="P49" s="13">
        <v>3.9</v>
      </c>
      <c r="Q49" s="13">
        <f t="shared" si="10"/>
        <v>4.5</v>
      </c>
      <c r="R49" s="4" t="str">
        <f t="shared" si="11"/>
        <v>REUSSITE</v>
      </c>
    </row>
    <row r="50" spans="1:18" ht="20.100000000000001" customHeight="1" x14ac:dyDescent="0.3">
      <c r="A50" s="4" t="s">
        <v>18</v>
      </c>
      <c r="B50" s="4" t="s">
        <v>188</v>
      </c>
      <c r="C50" s="4" t="s">
        <v>189</v>
      </c>
      <c r="D50" s="4" t="s">
        <v>131</v>
      </c>
      <c r="E50" s="4">
        <v>1</v>
      </c>
      <c r="F50" s="4" t="s">
        <v>27</v>
      </c>
      <c r="G50" s="4" t="s">
        <v>125</v>
      </c>
      <c r="H50" s="5">
        <v>34064</v>
      </c>
      <c r="I50" s="4" t="str">
        <f t="shared" si="6"/>
        <v>lundi</v>
      </c>
      <c r="J50" s="4" t="str">
        <f t="shared" si="7"/>
        <v>avril</v>
      </c>
      <c r="K50" s="4">
        <f t="shared" si="8"/>
        <v>1993</v>
      </c>
      <c r="L50" s="4">
        <f t="shared" ca="1" si="9"/>
        <v>32</v>
      </c>
      <c r="M50" s="4">
        <v>3</v>
      </c>
      <c r="N50" s="4">
        <v>1386</v>
      </c>
      <c r="O50" s="13">
        <v>4.9000000000000004</v>
      </c>
      <c r="P50" s="13">
        <v>5.6</v>
      </c>
      <c r="Q50" s="13">
        <f t="shared" si="10"/>
        <v>5.25</v>
      </c>
      <c r="R50" s="4" t="str">
        <f t="shared" si="11"/>
        <v>REUSSITE</v>
      </c>
    </row>
    <row r="51" spans="1:18" ht="20.100000000000001" customHeight="1" x14ac:dyDescent="0.3">
      <c r="A51" s="4" t="s">
        <v>12</v>
      </c>
      <c r="B51" s="4" t="s">
        <v>296</v>
      </c>
      <c r="C51" s="4" t="s">
        <v>297</v>
      </c>
      <c r="D51" s="4" t="s">
        <v>298</v>
      </c>
      <c r="E51" s="4">
        <v>48</v>
      </c>
      <c r="F51" s="4" t="s">
        <v>16</v>
      </c>
      <c r="G51" s="4" t="s">
        <v>32</v>
      </c>
      <c r="H51" s="5">
        <v>36101</v>
      </c>
      <c r="I51" s="4" t="str">
        <f t="shared" si="6"/>
        <v>lundi</v>
      </c>
      <c r="J51" s="4" t="str">
        <f t="shared" si="7"/>
        <v>novembre</v>
      </c>
      <c r="K51" s="4">
        <f t="shared" si="8"/>
        <v>1998</v>
      </c>
      <c r="L51" s="4">
        <f t="shared" ca="1" si="9"/>
        <v>27</v>
      </c>
      <c r="M51" s="4">
        <v>3</v>
      </c>
      <c r="N51" s="4">
        <v>1573</v>
      </c>
      <c r="O51" s="13">
        <v>6</v>
      </c>
      <c r="P51" s="13">
        <v>3.8</v>
      </c>
      <c r="Q51" s="13">
        <f t="shared" si="10"/>
        <v>4.9000000000000004</v>
      </c>
      <c r="R51" s="4" t="str">
        <f t="shared" si="11"/>
        <v>REUSSITE</v>
      </c>
    </row>
    <row r="52" spans="1:18" ht="20.100000000000001" customHeight="1" x14ac:dyDescent="0.3">
      <c r="A52" s="4" t="s">
        <v>12</v>
      </c>
      <c r="B52" s="4" t="s">
        <v>36</v>
      </c>
      <c r="C52" s="4" t="s">
        <v>37</v>
      </c>
      <c r="D52" s="4" t="s">
        <v>38</v>
      </c>
      <c r="E52" s="4">
        <v>27</v>
      </c>
      <c r="F52" s="4" t="s">
        <v>39</v>
      </c>
      <c r="G52" s="4" t="s">
        <v>23</v>
      </c>
      <c r="H52" s="5">
        <v>34510</v>
      </c>
      <c r="I52" s="4" t="str">
        <f t="shared" si="6"/>
        <v>samedi</v>
      </c>
      <c r="J52" s="4" t="str">
        <f t="shared" si="7"/>
        <v>juin</v>
      </c>
      <c r="K52" s="4">
        <f t="shared" si="8"/>
        <v>1994</v>
      </c>
      <c r="L52" s="4">
        <f t="shared" ca="1" si="9"/>
        <v>31</v>
      </c>
      <c r="M52" s="4">
        <v>1</v>
      </c>
      <c r="N52" s="4">
        <v>746</v>
      </c>
      <c r="O52" s="13">
        <v>6</v>
      </c>
      <c r="P52" s="13">
        <v>6</v>
      </c>
      <c r="Q52" s="13">
        <f t="shared" si="10"/>
        <v>6</v>
      </c>
      <c r="R52" s="4" t="str">
        <f t="shared" si="11"/>
        <v>REUSSITE</v>
      </c>
    </row>
    <row r="53" spans="1:18" ht="20.100000000000001" customHeight="1" x14ac:dyDescent="0.3">
      <c r="A53" s="4" t="s">
        <v>18</v>
      </c>
      <c r="B53" s="4" t="s">
        <v>199</v>
      </c>
      <c r="C53" s="4" t="s">
        <v>169</v>
      </c>
      <c r="D53" s="4" t="s">
        <v>200</v>
      </c>
      <c r="E53" s="4">
        <v>45</v>
      </c>
      <c r="F53" s="4" t="s">
        <v>56</v>
      </c>
      <c r="G53" s="4" t="s">
        <v>48</v>
      </c>
      <c r="H53" s="5">
        <v>37416</v>
      </c>
      <c r="I53" s="4" t="str">
        <f t="shared" si="6"/>
        <v>dimanche</v>
      </c>
      <c r="J53" s="4" t="str">
        <f t="shared" si="7"/>
        <v>juin</v>
      </c>
      <c r="K53" s="4">
        <f t="shared" si="8"/>
        <v>2002</v>
      </c>
      <c r="L53" s="4">
        <f t="shared" ca="1" si="9"/>
        <v>23</v>
      </c>
      <c r="M53" s="4">
        <v>4</v>
      </c>
      <c r="N53" s="4">
        <v>1830</v>
      </c>
      <c r="O53" s="13">
        <v>4.3</v>
      </c>
      <c r="P53" s="13">
        <v>3.5</v>
      </c>
      <c r="Q53" s="13">
        <f t="shared" si="10"/>
        <v>3.9</v>
      </c>
      <c r="R53" s="4" t="str">
        <f t="shared" si="11"/>
        <v>ECHEC</v>
      </c>
    </row>
    <row r="54" spans="1:18" ht="20.100000000000001" customHeight="1" x14ac:dyDescent="0.3">
      <c r="A54" s="4" t="s">
        <v>18</v>
      </c>
      <c r="B54" s="4" t="s">
        <v>132</v>
      </c>
      <c r="C54" s="4" t="s">
        <v>133</v>
      </c>
      <c r="D54" s="4" t="s">
        <v>134</v>
      </c>
      <c r="E54" s="4">
        <v>8</v>
      </c>
      <c r="F54" s="4" t="s">
        <v>56</v>
      </c>
      <c r="G54" s="4" t="s">
        <v>48</v>
      </c>
      <c r="H54" s="5">
        <v>33972</v>
      </c>
      <c r="I54" s="4" t="str">
        <f t="shared" si="6"/>
        <v>dimanche</v>
      </c>
      <c r="J54" s="4" t="str">
        <f t="shared" si="7"/>
        <v>janvier</v>
      </c>
      <c r="K54" s="4">
        <f t="shared" si="8"/>
        <v>1993</v>
      </c>
      <c r="L54" s="4">
        <f t="shared" ca="1" si="9"/>
        <v>32</v>
      </c>
      <c r="M54" s="4">
        <v>1</v>
      </c>
      <c r="N54" s="4">
        <v>703</v>
      </c>
      <c r="O54" s="13">
        <v>5.3</v>
      </c>
      <c r="P54" s="13">
        <v>5.6</v>
      </c>
      <c r="Q54" s="13">
        <f t="shared" si="10"/>
        <v>5.4499999999999993</v>
      </c>
      <c r="R54" s="4" t="str">
        <f t="shared" si="11"/>
        <v>REUSSITE</v>
      </c>
    </row>
    <row r="55" spans="1:18" ht="20.100000000000001" customHeight="1" x14ac:dyDescent="0.3">
      <c r="A55" s="4" t="s">
        <v>18</v>
      </c>
      <c r="B55" s="4" t="s">
        <v>53</v>
      </c>
      <c r="C55" s="4" t="s">
        <v>54</v>
      </c>
      <c r="D55" s="4" t="s">
        <v>55</v>
      </c>
      <c r="E55" s="4">
        <v>39</v>
      </c>
      <c r="F55" s="4" t="s">
        <v>56</v>
      </c>
      <c r="G55" s="4" t="s">
        <v>44</v>
      </c>
      <c r="H55" s="5">
        <v>34232</v>
      </c>
      <c r="I55" s="4" t="str">
        <f t="shared" si="6"/>
        <v>lundi</v>
      </c>
      <c r="J55" s="4" t="str">
        <f t="shared" si="7"/>
        <v>septembre</v>
      </c>
      <c r="K55" s="4">
        <f t="shared" si="8"/>
        <v>1993</v>
      </c>
      <c r="L55" s="4">
        <f t="shared" ca="1" si="9"/>
        <v>32</v>
      </c>
      <c r="M55" s="4">
        <v>3</v>
      </c>
      <c r="N55" s="4">
        <v>1551</v>
      </c>
      <c r="O55" s="13">
        <v>2.9</v>
      </c>
      <c r="P55" s="13">
        <v>4.3</v>
      </c>
      <c r="Q55" s="13">
        <f t="shared" si="10"/>
        <v>3.5999999999999996</v>
      </c>
      <c r="R55" s="4" t="str">
        <f t="shared" si="11"/>
        <v>ECHEC</v>
      </c>
    </row>
    <row r="56" spans="1:18" ht="20.100000000000001" customHeight="1" x14ac:dyDescent="0.3">
      <c r="A56" s="4" t="s">
        <v>18</v>
      </c>
      <c r="B56" s="4" t="s">
        <v>97</v>
      </c>
      <c r="C56" s="4" t="s">
        <v>98</v>
      </c>
      <c r="D56" s="4" t="s">
        <v>99</v>
      </c>
      <c r="E56" s="4">
        <v>12</v>
      </c>
      <c r="F56" s="4" t="s">
        <v>67</v>
      </c>
      <c r="G56" s="4" t="s">
        <v>100</v>
      </c>
      <c r="H56" s="5">
        <v>36763</v>
      </c>
      <c r="I56" s="4" t="str">
        <f t="shared" si="6"/>
        <v>vendredi</v>
      </c>
      <c r="J56" s="4" t="str">
        <f t="shared" si="7"/>
        <v>août</v>
      </c>
      <c r="K56" s="4">
        <f t="shared" si="8"/>
        <v>2000</v>
      </c>
      <c r="L56" s="4">
        <f t="shared" ca="1" si="9"/>
        <v>25</v>
      </c>
      <c r="M56" s="4">
        <v>3</v>
      </c>
      <c r="N56" s="4">
        <v>1570</v>
      </c>
      <c r="O56" s="13">
        <v>3.6</v>
      </c>
      <c r="P56" s="13">
        <v>4.5</v>
      </c>
      <c r="Q56" s="13">
        <f t="shared" si="10"/>
        <v>4.05</v>
      </c>
      <c r="R56" s="4" t="str">
        <f t="shared" si="11"/>
        <v>REUSSITE</v>
      </c>
    </row>
    <row r="57" spans="1:18" ht="20.100000000000001" customHeight="1" x14ac:dyDescent="0.3">
      <c r="A57" s="4" t="s">
        <v>18</v>
      </c>
      <c r="B57" s="4" t="s">
        <v>314</v>
      </c>
      <c r="C57" s="4" t="s">
        <v>315</v>
      </c>
      <c r="D57" s="4" t="s">
        <v>316</v>
      </c>
      <c r="E57" s="4">
        <v>24</v>
      </c>
      <c r="F57" s="4" t="s">
        <v>43</v>
      </c>
      <c r="G57" s="4" t="s">
        <v>125</v>
      </c>
      <c r="H57" s="5">
        <v>34976</v>
      </c>
      <c r="I57" s="4" t="str">
        <f t="shared" si="6"/>
        <v>mercredi</v>
      </c>
      <c r="J57" s="4" t="str">
        <f t="shared" si="7"/>
        <v>octobre</v>
      </c>
      <c r="K57" s="4">
        <f t="shared" si="8"/>
        <v>1995</v>
      </c>
      <c r="L57" s="4">
        <f t="shared" ca="1" si="9"/>
        <v>30</v>
      </c>
      <c r="M57" s="4">
        <v>1</v>
      </c>
      <c r="N57" s="4">
        <v>712</v>
      </c>
      <c r="O57" s="13">
        <v>2.7</v>
      </c>
      <c r="P57" s="13">
        <v>4.5999999999999996</v>
      </c>
      <c r="Q57" s="13">
        <f t="shared" si="10"/>
        <v>3.65</v>
      </c>
      <c r="R57" s="4" t="str">
        <f t="shared" si="11"/>
        <v>ECHEC</v>
      </c>
    </row>
    <row r="58" spans="1:18" ht="20.100000000000001" customHeight="1" x14ac:dyDescent="0.3">
      <c r="A58" s="4" t="s">
        <v>12</v>
      </c>
      <c r="B58" s="4" t="s">
        <v>290</v>
      </c>
      <c r="C58" s="4" t="s">
        <v>291</v>
      </c>
      <c r="D58" s="4" t="s">
        <v>292</v>
      </c>
      <c r="E58" s="4">
        <v>30</v>
      </c>
      <c r="F58" s="4" t="s">
        <v>39</v>
      </c>
      <c r="G58" s="4" t="s">
        <v>125</v>
      </c>
      <c r="H58" s="5">
        <v>35824</v>
      </c>
      <c r="I58" s="4" t="str">
        <f t="shared" si="6"/>
        <v>jeudi</v>
      </c>
      <c r="J58" s="4" t="str">
        <f t="shared" si="7"/>
        <v>janvier</v>
      </c>
      <c r="K58" s="4">
        <f t="shared" si="8"/>
        <v>1998</v>
      </c>
      <c r="L58" s="4">
        <f t="shared" ca="1" si="9"/>
        <v>27</v>
      </c>
      <c r="M58" s="4">
        <v>4</v>
      </c>
      <c r="N58" s="4">
        <v>1609</v>
      </c>
      <c r="O58" s="13">
        <v>5.3</v>
      </c>
      <c r="P58" s="13">
        <v>5.8</v>
      </c>
      <c r="Q58" s="13">
        <f t="shared" si="10"/>
        <v>5.55</v>
      </c>
      <c r="R58" s="4" t="str">
        <f t="shared" si="11"/>
        <v>REUSSITE</v>
      </c>
    </row>
    <row r="59" spans="1:18" ht="20.100000000000001" customHeight="1" x14ac:dyDescent="0.3">
      <c r="A59" s="4" t="s">
        <v>18</v>
      </c>
      <c r="B59" s="4" t="s">
        <v>119</v>
      </c>
      <c r="C59" s="4" t="s">
        <v>263</v>
      </c>
      <c r="D59" s="4" t="s">
        <v>264</v>
      </c>
      <c r="E59" s="4">
        <v>35</v>
      </c>
      <c r="F59" s="4" t="s">
        <v>39</v>
      </c>
      <c r="G59" s="4" t="s">
        <v>23</v>
      </c>
      <c r="H59" s="5">
        <v>36966</v>
      </c>
      <c r="I59" s="4" t="str">
        <f t="shared" si="6"/>
        <v>vendredi</v>
      </c>
      <c r="J59" s="4" t="str">
        <f t="shared" si="7"/>
        <v>mars</v>
      </c>
      <c r="K59" s="4">
        <f t="shared" si="8"/>
        <v>2001</v>
      </c>
      <c r="L59" s="4">
        <f t="shared" ca="1" si="9"/>
        <v>24</v>
      </c>
      <c r="M59" s="4">
        <v>1</v>
      </c>
      <c r="N59" s="4">
        <v>778</v>
      </c>
      <c r="O59" s="13">
        <v>6</v>
      </c>
      <c r="P59" s="13">
        <v>4.8</v>
      </c>
      <c r="Q59" s="13">
        <f t="shared" si="10"/>
        <v>5.4</v>
      </c>
      <c r="R59" s="4" t="str">
        <f t="shared" si="11"/>
        <v>REUSSITE</v>
      </c>
    </row>
    <row r="60" spans="1:18" ht="20.100000000000001" customHeight="1" x14ac:dyDescent="0.3">
      <c r="A60" s="4" t="s">
        <v>18</v>
      </c>
      <c r="B60" s="4" t="s">
        <v>119</v>
      </c>
      <c r="C60" s="4" t="s">
        <v>120</v>
      </c>
      <c r="D60" s="4" t="s">
        <v>121</v>
      </c>
      <c r="E60" s="4">
        <v>50</v>
      </c>
      <c r="F60" s="4" t="s">
        <v>16</v>
      </c>
      <c r="G60" s="4" t="s">
        <v>48</v>
      </c>
      <c r="H60" s="5">
        <v>35001</v>
      </c>
      <c r="I60" s="4" t="str">
        <f t="shared" si="6"/>
        <v>dimanche</v>
      </c>
      <c r="J60" s="4" t="str">
        <f t="shared" si="7"/>
        <v>octobre</v>
      </c>
      <c r="K60" s="4">
        <f t="shared" si="8"/>
        <v>1995</v>
      </c>
      <c r="L60" s="4">
        <f t="shared" ca="1" si="9"/>
        <v>30</v>
      </c>
      <c r="M60" s="4">
        <v>2</v>
      </c>
      <c r="N60" s="4">
        <v>1075</v>
      </c>
      <c r="O60" s="13">
        <v>4.5</v>
      </c>
      <c r="P60" s="13">
        <v>4.8</v>
      </c>
      <c r="Q60" s="13">
        <f t="shared" si="10"/>
        <v>4.6500000000000004</v>
      </c>
      <c r="R60" s="4" t="str">
        <f t="shared" si="11"/>
        <v>REUSSITE</v>
      </c>
    </row>
    <row r="61" spans="1:18" ht="20.100000000000001" customHeight="1" x14ac:dyDescent="0.3">
      <c r="A61" s="4" t="s">
        <v>12</v>
      </c>
      <c r="B61" s="4" t="s">
        <v>147</v>
      </c>
      <c r="C61" s="4" t="s">
        <v>148</v>
      </c>
      <c r="D61" s="4" t="s">
        <v>149</v>
      </c>
      <c r="E61" s="4">
        <v>26</v>
      </c>
      <c r="F61" s="4" t="s">
        <v>43</v>
      </c>
      <c r="G61" s="4" t="s">
        <v>100</v>
      </c>
      <c r="H61" s="5">
        <v>35560</v>
      </c>
      <c r="I61" s="4" t="str">
        <f t="shared" si="6"/>
        <v>samedi</v>
      </c>
      <c r="J61" s="4" t="str">
        <f t="shared" si="7"/>
        <v>mai</v>
      </c>
      <c r="K61" s="4">
        <f t="shared" si="8"/>
        <v>1997</v>
      </c>
      <c r="L61" s="4">
        <f t="shared" ca="1" si="9"/>
        <v>28</v>
      </c>
      <c r="M61" s="4">
        <v>3</v>
      </c>
      <c r="N61" s="4">
        <v>1422</v>
      </c>
      <c r="O61" s="13">
        <v>3.9</v>
      </c>
      <c r="P61" s="13">
        <v>3.8</v>
      </c>
      <c r="Q61" s="13">
        <f t="shared" si="10"/>
        <v>3.8499999999999996</v>
      </c>
      <c r="R61" s="4" t="str">
        <f t="shared" si="11"/>
        <v>ECHEC</v>
      </c>
    </row>
    <row r="62" spans="1:18" ht="20.100000000000001" customHeight="1" x14ac:dyDescent="0.3">
      <c r="A62" s="4" t="s">
        <v>18</v>
      </c>
      <c r="B62" s="4" t="s">
        <v>320</v>
      </c>
      <c r="C62" s="4" t="s">
        <v>312</v>
      </c>
      <c r="D62" s="4" t="s">
        <v>321</v>
      </c>
      <c r="E62" s="4">
        <v>27</v>
      </c>
      <c r="F62" s="4" t="s">
        <v>63</v>
      </c>
      <c r="G62" s="4" t="s">
        <v>44</v>
      </c>
      <c r="H62" s="5">
        <v>37084</v>
      </c>
      <c r="I62" s="4" t="str">
        <f t="shared" si="6"/>
        <v>jeudi</v>
      </c>
      <c r="J62" s="4" t="str">
        <f t="shared" si="7"/>
        <v>juillet</v>
      </c>
      <c r="K62" s="4">
        <f t="shared" si="8"/>
        <v>2001</v>
      </c>
      <c r="L62" s="4">
        <f t="shared" ca="1" si="9"/>
        <v>24</v>
      </c>
      <c r="M62" s="4">
        <v>3</v>
      </c>
      <c r="N62" s="4">
        <v>1568</v>
      </c>
      <c r="O62" s="13">
        <v>5.0999999999999996</v>
      </c>
      <c r="P62" s="13">
        <v>3.7</v>
      </c>
      <c r="Q62" s="13">
        <f t="shared" si="10"/>
        <v>4.4000000000000004</v>
      </c>
      <c r="R62" s="4" t="str">
        <f t="shared" si="11"/>
        <v>REUSSITE</v>
      </c>
    </row>
    <row r="63" spans="1:18" ht="20.100000000000001" customHeight="1" x14ac:dyDescent="0.3">
      <c r="A63" s="4" t="s">
        <v>12</v>
      </c>
      <c r="B63" s="4" t="s">
        <v>174</v>
      </c>
      <c r="C63" s="4" t="s">
        <v>175</v>
      </c>
      <c r="D63" s="4" t="s">
        <v>176</v>
      </c>
      <c r="E63" s="4">
        <v>24</v>
      </c>
      <c r="F63" s="4" t="s">
        <v>16</v>
      </c>
      <c r="G63" s="4" t="s">
        <v>74</v>
      </c>
      <c r="H63" s="5">
        <v>35991</v>
      </c>
      <c r="I63" s="4" t="str">
        <f t="shared" si="6"/>
        <v>mercredi</v>
      </c>
      <c r="J63" s="4" t="str">
        <f t="shared" si="7"/>
        <v>juillet</v>
      </c>
      <c r="K63" s="4">
        <f t="shared" si="8"/>
        <v>1998</v>
      </c>
      <c r="L63" s="4">
        <f t="shared" ca="1" si="9"/>
        <v>27</v>
      </c>
      <c r="M63" s="4">
        <v>1</v>
      </c>
      <c r="N63" s="4">
        <v>786</v>
      </c>
      <c r="O63" s="13">
        <v>2.7</v>
      </c>
      <c r="P63" s="13">
        <v>4.8</v>
      </c>
      <c r="Q63" s="13">
        <f t="shared" si="10"/>
        <v>3.75</v>
      </c>
      <c r="R63" s="4" t="str">
        <f t="shared" si="11"/>
        <v>ECHEC</v>
      </c>
    </row>
    <row r="64" spans="1:18" ht="20.100000000000001" customHeight="1" x14ac:dyDescent="0.3">
      <c r="A64" s="4" t="s">
        <v>12</v>
      </c>
      <c r="B64" s="4" t="s">
        <v>214</v>
      </c>
      <c r="C64" s="4" t="s">
        <v>215</v>
      </c>
      <c r="D64" s="4" t="s">
        <v>106</v>
      </c>
      <c r="E64" s="4">
        <v>37</v>
      </c>
      <c r="F64" s="4" t="s">
        <v>27</v>
      </c>
      <c r="G64" s="4" t="s">
        <v>44</v>
      </c>
      <c r="H64" s="5">
        <v>37308</v>
      </c>
      <c r="I64" s="4" t="str">
        <f t="shared" si="6"/>
        <v>jeudi</v>
      </c>
      <c r="J64" s="4" t="str">
        <f t="shared" si="7"/>
        <v>février</v>
      </c>
      <c r="K64" s="4">
        <f t="shared" si="8"/>
        <v>2002</v>
      </c>
      <c r="L64" s="4">
        <f t="shared" ca="1" si="9"/>
        <v>23</v>
      </c>
      <c r="M64" s="4">
        <v>3</v>
      </c>
      <c r="N64" s="4">
        <v>1583</v>
      </c>
      <c r="O64" s="13">
        <v>3.5</v>
      </c>
      <c r="P64" s="13">
        <v>5.0999999999999996</v>
      </c>
      <c r="Q64" s="13">
        <f t="shared" si="10"/>
        <v>4.3</v>
      </c>
      <c r="R64" s="4" t="str">
        <f t="shared" si="11"/>
        <v>REUSSITE</v>
      </c>
    </row>
    <row r="65" spans="1:18" ht="20.100000000000001" customHeight="1" x14ac:dyDescent="0.3">
      <c r="A65" s="4" t="s">
        <v>12</v>
      </c>
      <c r="B65" s="4" t="s">
        <v>231</v>
      </c>
      <c r="C65" s="4" t="s">
        <v>232</v>
      </c>
      <c r="D65" s="4" t="s">
        <v>233</v>
      </c>
      <c r="E65" s="4">
        <v>30</v>
      </c>
      <c r="F65" s="4" t="s">
        <v>27</v>
      </c>
      <c r="G65" s="4" t="s">
        <v>210</v>
      </c>
      <c r="H65" s="5">
        <v>34316</v>
      </c>
      <c r="I65" s="4" t="str">
        <f t="shared" si="6"/>
        <v>lundi</v>
      </c>
      <c r="J65" s="4" t="str">
        <f t="shared" si="7"/>
        <v>décembre</v>
      </c>
      <c r="K65" s="4">
        <f t="shared" si="8"/>
        <v>1993</v>
      </c>
      <c r="L65" s="4">
        <f t="shared" ca="1" si="9"/>
        <v>32</v>
      </c>
      <c r="M65" s="4">
        <v>3</v>
      </c>
      <c r="N65" s="4">
        <v>1333</v>
      </c>
      <c r="O65" s="13">
        <v>3.2</v>
      </c>
      <c r="P65" s="13">
        <v>5.2</v>
      </c>
      <c r="Q65" s="13">
        <f t="shared" si="10"/>
        <v>4.2</v>
      </c>
      <c r="R65" s="4" t="str">
        <f t="shared" si="11"/>
        <v>REUSSITE</v>
      </c>
    </row>
    <row r="66" spans="1:18" ht="20.100000000000001" customHeight="1" x14ac:dyDescent="0.3">
      <c r="A66" s="4" t="s">
        <v>12</v>
      </c>
      <c r="B66" s="4" t="s">
        <v>322</v>
      </c>
      <c r="C66" s="4" t="s">
        <v>323</v>
      </c>
      <c r="D66" s="4" t="s">
        <v>324</v>
      </c>
      <c r="E66" s="4">
        <v>16</v>
      </c>
      <c r="F66" s="4" t="s">
        <v>16</v>
      </c>
      <c r="G66" s="4" t="s">
        <v>32</v>
      </c>
      <c r="H66" s="5">
        <v>36984</v>
      </c>
      <c r="I66" s="4" t="str">
        <f t="shared" ref="I66:I97" si="12">TEXT(H66,"jjjj")</f>
        <v>mardi</v>
      </c>
      <c r="J66" s="4" t="str">
        <f t="shared" ref="J66:J101" si="13">TEXT(H66,"mmmm")</f>
        <v>avril</v>
      </c>
      <c r="K66" s="4">
        <f t="shared" ref="K66:K101" si="14">YEAR(H66)</f>
        <v>2001</v>
      </c>
      <c r="L66" s="4">
        <f t="shared" ref="L66:L97" ca="1" si="15">YEAR(TODAY())-K66</f>
        <v>24</v>
      </c>
      <c r="M66" s="4">
        <v>3</v>
      </c>
      <c r="N66" s="4">
        <v>1212</v>
      </c>
      <c r="O66" s="13">
        <v>3.2</v>
      </c>
      <c r="P66" s="13">
        <v>5.5</v>
      </c>
      <c r="Q66" s="13">
        <f t="shared" ref="Q66:Q97" si="16">AVERAGE(O66,P66)</f>
        <v>4.3499999999999996</v>
      </c>
      <c r="R66" s="4" t="str">
        <f t="shared" ref="R66:R97" si="17">IF(Q66&lt;4,"ECHEC","REUSSITE")</f>
        <v>REUSSITE</v>
      </c>
    </row>
    <row r="67" spans="1:18" ht="20.100000000000001" customHeight="1" x14ac:dyDescent="0.3">
      <c r="A67" s="4" t="s">
        <v>18</v>
      </c>
      <c r="B67" s="4" t="s">
        <v>207</v>
      </c>
      <c r="C67" s="4" t="s">
        <v>208</v>
      </c>
      <c r="D67" s="4" t="s">
        <v>209</v>
      </c>
      <c r="E67" s="4">
        <v>23</v>
      </c>
      <c r="F67" s="4" t="s">
        <v>56</v>
      </c>
      <c r="G67" s="4" t="s">
        <v>210</v>
      </c>
      <c r="H67" s="5">
        <v>35519</v>
      </c>
      <c r="I67" s="4" t="str">
        <f t="shared" si="12"/>
        <v>dimanche</v>
      </c>
      <c r="J67" s="4" t="str">
        <f t="shared" si="13"/>
        <v>mars</v>
      </c>
      <c r="K67" s="4">
        <f t="shared" si="14"/>
        <v>1997</v>
      </c>
      <c r="L67" s="4">
        <f t="shared" ca="1" si="15"/>
        <v>28</v>
      </c>
      <c r="M67" s="4">
        <v>2</v>
      </c>
      <c r="N67" s="4">
        <v>1254</v>
      </c>
      <c r="O67" s="13">
        <v>4.3</v>
      </c>
      <c r="P67" s="13">
        <v>3.7</v>
      </c>
      <c r="Q67" s="13">
        <f t="shared" si="16"/>
        <v>4</v>
      </c>
      <c r="R67" s="4" t="str">
        <f t="shared" si="17"/>
        <v>REUSSITE</v>
      </c>
    </row>
    <row r="68" spans="1:18" ht="20.100000000000001" customHeight="1" x14ac:dyDescent="0.3">
      <c r="A68" s="4" t="s">
        <v>12</v>
      </c>
      <c r="B68" s="4" t="s">
        <v>299</v>
      </c>
      <c r="C68" s="4" t="s">
        <v>300</v>
      </c>
      <c r="D68" s="4" t="s">
        <v>301</v>
      </c>
      <c r="E68" s="4">
        <v>25</v>
      </c>
      <c r="F68" s="4" t="s">
        <v>43</v>
      </c>
      <c r="G68" s="4" t="s">
        <v>44</v>
      </c>
      <c r="H68" s="5">
        <v>34209</v>
      </c>
      <c r="I68" s="4" t="str">
        <f t="shared" si="12"/>
        <v>samedi</v>
      </c>
      <c r="J68" s="4" t="str">
        <f t="shared" si="13"/>
        <v>août</v>
      </c>
      <c r="K68" s="4">
        <f t="shared" si="14"/>
        <v>1993</v>
      </c>
      <c r="L68" s="4">
        <f t="shared" ca="1" si="15"/>
        <v>32</v>
      </c>
      <c r="M68" s="4">
        <v>2</v>
      </c>
      <c r="N68" s="4">
        <v>1282</v>
      </c>
      <c r="O68" s="13">
        <v>2.9</v>
      </c>
      <c r="P68" s="13">
        <v>6</v>
      </c>
      <c r="Q68" s="13">
        <f t="shared" si="16"/>
        <v>4.45</v>
      </c>
      <c r="R68" s="4" t="str">
        <f t="shared" si="17"/>
        <v>REUSSITE</v>
      </c>
    </row>
    <row r="69" spans="1:18" ht="20.100000000000001" customHeight="1" x14ac:dyDescent="0.3">
      <c r="A69" s="4" t="s">
        <v>12</v>
      </c>
      <c r="B69" s="4" t="s">
        <v>33</v>
      </c>
      <c r="C69" s="4" t="s">
        <v>34</v>
      </c>
      <c r="D69" s="4" t="s">
        <v>35</v>
      </c>
      <c r="E69" s="4">
        <v>4</v>
      </c>
      <c r="F69" s="4" t="s">
        <v>27</v>
      </c>
      <c r="G69" s="4" t="s">
        <v>17</v>
      </c>
      <c r="H69" s="5">
        <v>33672</v>
      </c>
      <c r="I69" s="4" t="str">
        <f t="shared" si="12"/>
        <v>lundi</v>
      </c>
      <c r="J69" s="4" t="str">
        <f t="shared" si="13"/>
        <v>mars</v>
      </c>
      <c r="K69" s="4">
        <f t="shared" si="14"/>
        <v>1992</v>
      </c>
      <c r="L69" s="4">
        <f t="shared" ca="1" si="15"/>
        <v>33</v>
      </c>
      <c r="M69" s="4">
        <v>2</v>
      </c>
      <c r="N69" s="4">
        <v>1006</v>
      </c>
      <c r="O69" s="13">
        <v>4.7</v>
      </c>
      <c r="P69" s="13">
        <v>4</v>
      </c>
      <c r="Q69" s="13">
        <f t="shared" si="16"/>
        <v>4.3499999999999996</v>
      </c>
      <c r="R69" s="4" t="str">
        <f t="shared" si="17"/>
        <v>REUSSITE</v>
      </c>
    </row>
    <row r="70" spans="1:18" ht="20.100000000000001" customHeight="1" x14ac:dyDescent="0.3">
      <c r="A70" s="4" t="s">
        <v>12</v>
      </c>
      <c r="B70" s="4" t="s">
        <v>144</v>
      </c>
      <c r="C70" s="4" t="s">
        <v>145</v>
      </c>
      <c r="D70" s="4" t="s">
        <v>146</v>
      </c>
      <c r="E70" s="4">
        <v>20</v>
      </c>
      <c r="F70" s="4" t="s">
        <v>16</v>
      </c>
      <c r="G70" s="4" t="s">
        <v>100</v>
      </c>
      <c r="H70" s="5">
        <v>37060</v>
      </c>
      <c r="I70" s="4" t="str">
        <f t="shared" si="12"/>
        <v>lundi</v>
      </c>
      <c r="J70" s="4" t="str">
        <f t="shared" si="13"/>
        <v>juin</v>
      </c>
      <c r="K70" s="4">
        <f t="shared" si="14"/>
        <v>2001</v>
      </c>
      <c r="L70" s="4">
        <f t="shared" ca="1" si="15"/>
        <v>24</v>
      </c>
      <c r="M70" s="4">
        <v>2</v>
      </c>
      <c r="N70" s="4">
        <v>1056</v>
      </c>
      <c r="O70" s="13">
        <v>5.5</v>
      </c>
      <c r="P70" s="13">
        <v>6</v>
      </c>
      <c r="Q70" s="13">
        <f t="shared" si="16"/>
        <v>5.75</v>
      </c>
      <c r="R70" s="4" t="str">
        <f t="shared" si="17"/>
        <v>REUSSITE</v>
      </c>
    </row>
    <row r="71" spans="1:18" ht="20.100000000000001" customHeight="1" x14ac:dyDescent="0.3">
      <c r="A71" s="4" t="s">
        <v>12</v>
      </c>
      <c r="B71" s="4" t="s">
        <v>258</v>
      </c>
      <c r="C71" s="4" t="s">
        <v>139</v>
      </c>
      <c r="D71" s="4" t="s">
        <v>259</v>
      </c>
      <c r="E71" s="4">
        <v>1</v>
      </c>
      <c r="F71" s="4" t="s">
        <v>39</v>
      </c>
      <c r="G71" s="4" t="s">
        <v>17</v>
      </c>
      <c r="H71" s="5">
        <v>34204</v>
      </c>
      <c r="I71" s="4" t="str">
        <f t="shared" si="12"/>
        <v>lundi</v>
      </c>
      <c r="J71" s="4" t="str">
        <f t="shared" si="13"/>
        <v>août</v>
      </c>
      <c r="K71" s="4">
        <f t="shared" si="14"/>
        <v>1993</v>
      </c>
      <c r="L71" s="4">
        <f t="shared" ca="1" si="15"/>
        <v>32</v>
      </c>
      <c r="M71" s="4">
        <v>1</v>
      </c>
      <c r="N71" s="4">
        <v>735</v>
      </c>
      <c r="O71" s="13">
        <v>5.3</v>
      </c>
      <c r="P71" s="13">
        <v>4.7</v>
      </c>
      <c r="Q71" s="13">
        <f t="shared" si="16"/>
        <v>5</v>
      </c>
      <c r="R71" s="4" t="str">
        <f t="shared" si="17"/>
        <v>REUSSITE</v>
      </c>
    </row>
    <row r="72" spans="1:18" ht="20.100000000000001" customHeight="1" x14ac:dyDescent="0.3">
      <c r="A72" s="4" t="s">
        <v>18</v>
      </c>
      <c r="B72" s="4" t="s">
        <v>141</v>
      </c>
      <c r="C72" s="4" t="s">
        <v>142</v>
      </c>
      <c r="D72" s="4" t="s">
        <v>143</v>
      </c>
      <c r="E72" s="4">
        <v>34</v>
      </c>
      <c r="F72" s="4" t="s">
        <v>39</v>
      </c>
      <c r="G72" s="4" t="s">
        <v>44</v>
      </c>
      <c r="H72" s="5">
        <v>33707</v>
      </c>
      <c r="I72" s="4" t="str">
        <f t="shared" si="12"/>
        <v>lundi</v>
      </c>
      <c r="J72" s="4" t="str">
        <f t="shared" si="13"/>
        <v>avril</v>
      </c>
      <c r="K72" s="4">
        <f t="shared" si="14"/>
        <v>1992</v>
      </c>
      <c r="L72" s="4">
        <f t="shared" ca="1" si="15"/>
        <v>33</v>
      </c>
      <c r="M72" s="4">
        <v>2</v>
      </c>
      <c r="N72" s="4">
        <v>1015</v>
      </c>
      <c r="O72" s="13">
        <v>4.7</v>
      </c>
      <c r="P72" s="13">
        <v>5.8</v>
      </c>
      <c r="Q72" s="13">
        <f t="shared" si="16"/>
        <v>5.25</v>
      </c>
      <c r="R72" s="4" t="str">
        <f t="shared" si="17"/>
        <v>REUSSITE</v>
      </c>
    </row>
    <row r="73" spans="1:18" ht="20.100000000000001" customHeight="1" x14ac:dyDescent="0.3">
      <c r="A73" s="4" t="s">
        <v>18</v>
      </c>
      <c r="B73" s="4" t="s">
        <v>19</v>
      </c>
      <c r="C73" s="4" t="s">
        <v>20</v>
      </c>
      <c r="D73" s="4" t="s">
        <v>21</v>
      </c>
      <c r="E73" s="4">
        <v>13</v>
      </c>
      <c r="F73" s="4" t="s">
        <v>22</v>
      </c>
      <c r="G73" s="4" t="s">
        <v>23</v>
      </c>
      <c r="H73" s="5">
        <v>33594</v>
      </c>
      <c r="I73" s="4" t="str">
        <f t="shared" si="12"/>
        <v>dimanche</v>
      </c>
      <c r="J73" s="4" t="str">
        <f t="shared" si="13"/>
        <v>décembre</v>
      </c>
      <c r="K73" s="4">
        <f t="shared" si="14"/>
        <v>1991</v>
      </c>
      <c r="L73" s="4">
        <f t="shared" ca="1" si="15"/>
        <v>34</v>
      </c>
      <c r="M73" s="4">
        <v>3</v>
      </c>
      <c r="N73" s="4">
        <v>1354</v>
      </c>
      <c r="O73" s="13">
        <v>5.3</v>
      </c>
      <c r="P73" s="13">
        <v>5.5</v>
      </c>
      <c r="Q73" s="13">
        <f t="shared" si="16"/>
        <v>5.4</v>
      </c>
      <c r="R73" s="4" t="str">
        <f t="shared" si="17"/>
        <v>REUSSITE</v>
      </c>
    </row>
    <row r="74" spans="1:18" ht="20.100000000000001" customHeight="1" x14ac:dyDescent="0.3">
      <c r="A74" s="4" t="s">
        <v>18</v>
      </c>
      <c r="B74" s="4" t="s">
        <v>293</v>
      </c>
      <c r="C74" s="4" t="s">
        <v>294</v>
      </c>
      <c r="D74" s="4" t="s">
        <v>295</v>
      </c>
      <c r="E74" s="4">
        <v>37</v>
      </c>
      <c r="F74" s="4" t="s">
        <v>67</v>
      </c>
      <c r="G74" s="4" t="s">
        <v>100</v>
      </c>
      <c r="H74" s="5">
        <v>37347</v>
      </c>
      <c r="I74" s="4" t="str">
        <f t="shared" si="12"/>
        <v>lundi</v>
      </c>
      <c r="J74" s="4" t="str">
        <f t="shared" si="13"/>
        <v>avril</v>
      </c>
      <c r="K74" s="4">
        <f t="shared" si="14"/>
        <v>2002</v>
      </c>
      <c r="L74" s="4">
        <f t="shared" ca="1" si="15"/>
        <v>23</v>
      </c>
      <c r="M74" s="4">
        <v>3</v>
      </c>
      <c r="N74" s="4">
        <v>1395</v>
      </c>
      <c r="O74" s="13">
        <v>2.7</v>
      </c>
      <c r="P74" s="13">
        <v>5.0999999999999996</v>
      </c>
      <c r="Q74" s="13">
        <f t="shared" si="16"/>
        <v>3.9</v>
      </c>
      <c r="R74" s="4" t="str">
        <f t="shared" si="17"/>
        <v>ECHEC</v>
      </c>
    </row>
    <row r="75" spans="1:18" ht="20.100000000000001" customHeight="1" x14ac:dyDescent="0.3">
      <c r="A75" s="4" t="s">
        <v>12</v>
      </c>
      <c r="B75" s="4" t="s">
        <v>225</v>
      </c>
      <c r="C75" s="4" t="s">
        <v>226</v>
      </c>
      <c r="D75" s="4" t="s">
        <v>227</v>
      </c>
      <c r="E75" s="4">
        <v>34</v>
      </c>
      <c r="F75" s="4" t="s">
        <v>16</v>
      </c>
      <c r="G75" s="4" t="s">
        <v>125</v>
      </c>
      <c r="H75" s="5">
        <v>35400</v>
      </c>
      <c r="I75" s="4" t="str">
        <f t="shared" si="12"/>
        <v>dimanche</v>
      </c>
      <c r="J75" s="4" t="str">
        <f t="shared" si="13"/>
        <v>décembre</v>
      </c>
      <c r="K75" s="4">
        <f t="shared" si="14"/>
        <v>1996</v>
      </c>
      <c r="L75" s="4">
        <f t="shared" ca="1" si="15"/>
        <v>29</v>
      </c>
      <c r="M75" s="4">
        <v>2</v>
      </c>
      <c r="N75" s="4">
        <v>1110</v>
      </c>
      <c r="O75" s="13">
        <v>4</v>
      </c>
      <c r="P75" s="13">
        <v>5.4</v>
      </c>
      <c r="Q75" s="13">
        <f t="shared" si="16"/>
        <v>4.7</v>
      </c>
      <c r="R75" s="4" t="str">
        <f t="shared" si="17"/>
        <v>REUSSITE</v>
      </c>
    </row>
    <row r="76" spans="1:18" ht="20.100000000000001" customHeight="1" x14ac:dyDescent="0.3">
      <c r="A76" s="4" t="s">
        <v>18</v>
      </c>
      <c r="B76" s="4" t="s">
        <v>308</v>
      </c>
      <c r="C76" s="4" t="s">
        <v>309</v>
      </c>
      <c r="D76" s="4" t="s">
        <v>310</v>
      </c>
      <c r="E76" s="4">
        <v>44</v>
      </c>
      <c r="F76" s="4" t="s">
        <v>56</v>
      </c>
      <c r="G76" s="4" t="s">
        <v>52</v>
      </c>
      <c r="H76" s="5">
        <v>36344</v>
      </c>
      <c r="I76" s="4" t="str">
        <f t="shared" si="12"/>
        <v>samedi</v>
      </c>
      <c r="J76" s="4" t="str">
        <f t="shared" si="13"/>
        <v>juillet</v>
      </c>
      <c r="K76" s="4">
        <f t="shared" si="14"/>
        <v>1999</v>
      </c>
      <c r="L76" s="4">
        <f t="shared" ca="1" si="15"/>
        <v>26</v>
      </c>
      <c r="M76" s="4">
        <v>2</v>
      </c>
      <c r="N76" s="4">
        <v>1097</v>
      </c>
      <c r="O76" s="13">
        <v>3.6</v>
      </c>
      <c r="P76" s="13">
        <v>3.9</v>
      </c>
      <c r="Q76" s="13">
        <f t="shared" si="16"/>
        <v>3.75</v>
      </c>
      <c r="R76" s="4" t="str">
        <f t="shared" si="17"/>
        <v>ECHEC</v>
      </c>
    </row>
    <row r="77" spans="1:18" ht="20.100000000000001" customHeight="1" x14ac:dyDescent="0.3">
      <c r="A77" s="4" t="s">
        <v>18</v>
      </c>
      <c r="B77" s="4" t="s">
        <v>243</v>
      </c>
      <c r="C77" s="4" t="s">
        <v>244</v>
      </c>
      <c r="D77" s="4" t="s">
        <v>245</v>
      </c>
      <c r="E77" s="4">
        <v>30</v>
      </c>
      <c r="F77" s="4" t="s">
        <v>16</v>
      </c>
      <c r="G77" s="4" t="s">
        <v>17</v>
      </c>
      <c r="H77" s="5">
        <v>34136</v>
      </c>
      <c r="I77" s="4" t="str">
        <f t="shared" si="12"/>
        <v>mercredi</v>
      </c>
      <c r="J77" s="4" t="str">
        <f t="shared" si="13"/>
        <v>juin</v>
      </c>
      <c r="K77" s="4">
        <f t="shared" si="14"/>
        <v>1993</v>
      </c>
      <c r="L77" s="4">
        <f t="shared" ca="1" si="15"/>
        <v>32</v>
      </c>
      <c r="M77" s="4">
        <v>1</v>
      </c>
      <c r="N77" s="4">
        <v>791</v>
      </c>
      <c r="O77" s="13">
        <v>4.2</v>
      </c>
      <c r="P77" s="13">
        <v>4</v>
      </c>
      <c r="Q77" s="13">
        <f t="shared" si="16"/>
        <v>4.0999999999999996</v>
      </c>
      <c r="R77" s="4" t="str">
        <f t="shared" si="17"/>
        <v>REUSSITE</v>
      </c>
    </row>
    <row r="78" spans="1:18" ht="20.100000000000001" customHeight="1" x14ac:dyDescent="0.3">
      <c r="A78" s="4" t="s">
        <v>18</v>
      </c>
      <c r="B78" s="4" t="s">
        <v>190</v>
      </c>
      <c r="C78" s="4" t="s">
        <v>191</v>
      </c>
      <c r="D78" s="4" t="s">
        <v>192</v>
      </c>
      <c r="E78" s="4">
        <v>23</v>
      </c>
      <c r="F78" s="4" t="s">
        <v>16</v>
      </c>
      <c r="G78" s="4" t="s">
        <v>44</v>
      </c>
      <c r="H78" s="5">
        <v>34342</v>
      </c>
      <c r="I78" s="4" t="str">
        <f t="shared" si="12"/>
        <v>samedi</v>
      </c>
      <c r="J78" s="4" t="str">
        <f t="shared" si="13"/>
        <v>janvier</v>
      </c>
      <c r="K78" s="4">
        <f t="shared" si="14"/>
        <v>1994</v>
      </c>
      <c r="L78" s="4">
        <f t="shared" ca="1" si="15"/>
        <v>31</v>
      </c>
      <c r="M78" s="4">
        <v>2</v>
      </c>
      <c r="N78" s="4">
        <v>1217</v>
      </c>
      <c r="O78" s="13">
        <v>4.9000000000000004</v>
      </c>
      <c r="P78" s="13">
        <v>4.9000000000000004</v>
      </c>
      <c r="Q78" s="13">
        <f t="shared" si="16"/>
        <v>4.9000000000000004</v>
      </c>
      <c r="R78" s="4" t="str">
        <f t="shared" si="17"/>
        <v>REUSSITE</v>
      </c>
    </row>
    <row r="79" spans="1:18" ht="20.100000000000001" customHeight="1" x14ac:dyDescent="0.3">
      <c r="A79" s="4" t="s">
        <v>18</v>
      </c>
      <c r="B79" s="4" t="s">
        <v>168</v>
      </c>
      <c r="C79" s="4" t="s">
        <v>169</v>
      </c>
      <c r="D79" s="4" t="s">
        <v>170</v>
      </c>
      <c r="E79" s="4">
        <v>18</v>
      </c>
      <c r="F79" s="4" t="s">
        <v>22</v>
      </c>
      <c r="G79" s="4" t="s">
        <v>125</v>
      </c>
      <c r="H79" s="5">
        <v>37342</v>
      </c>
      <c r="I79" s="4" t="str">
        <f t="shared" si="12"/>
        <v>mercredi</v>
      </c>
      <c r="J79" s="4" t="str">
        <f t="shared" si="13"/>
        <v>mars</v>
      </c>
      <c r="K79" s="4">
        <f t="shared" si="14"/>
        <v>2002</v>
      </c>
      <c r="L79" s="4">
        <f t="shared" ca="1" si="15"/>
        <v>23</v>
      </c>
      <c r="M79" s="4">
        <v>2</v>
      </c>
      <c r="N79" s="4">
        <v>1038</v>
      </c>
      <c r="O79" s="13">
        <v>3.8</v>
      </c>
      <c r="P79" s="13">
        <v>4</v>
      </c>
      <c r="Q79" s="13">
        <f t="shared" si="16"/>
        <v>3.9</v>
      </c>
      <c r="R79" s="4" t="str">
        <f t="shared" si="17"/>
        <v>ECHEC</v>
      </c>
    </row>
    <row r="80" spans="1:18" ht="20.100000000000001" customHeight="1" x14ac:dyDescent="0.3">
      <c r="A80" s="4" t="s">
        <v>12</v>
      </c>
      <c r="B80" s="4" t="s">
        <v>265</v>
      </c>
      <c r="C80" s="4" t="s">
        <v>266</v>
      </c>
      <c r="D80" s="4" t="s">
        <v>267</v>
      </c>
      <c r="E80" s="4">
        <v>27</v>
      </c>
      <c r="F80" s="4" t="s">
        <v>56</v>
      </c>
      <c r="G80" s="4" t="s">
        <v>48</v>
      </c>
      <c r="H80" s="5">
        <v>35043</v>
      </c>
      <c r="I80" s="4" t="str">
        <f t="shared" si="12"/>
        <v>dimanche</v>
      </c>
      <c r="J80" s="4" t="str">
        <f t="shared" si="13"/>
        <v>décembre</v>
      </c>
      <c r="K80" s="4">
        <f t="shared" si="14"/>
        <v>1995</v>
      </c>
      <c r="L80" s="4">
        <f t="shared" ca="1" si="15"/>
        <v>30</v>
      </c>
      <c r="M80" s="4">
        <v>1</v>
      </c>
      <c r="N80" s="4">
        <v>723</v>
      </c>
      <c r="O80" s="13">
        <v>4.5999999999999996</v>
      </c>
      <c r="P80" s="13">
        <v>5.7</v>
      </c>
      <c r="Q80" s="13">
        <f t="shared" si="16"/>
        <v>5.15</v>
      </c>
      <c r="R80" s="4" t="str">
        <f t="shared" si="17"/>
        <v>REUSSITE</v>
      </c>
    </row>
    <row r="81" spans="1:18" ht="20.100000000000001" customHeight="1" x14ac:dyDescent="0.3">
      <c r="A81" s="4" t="s">
        <v>12</v>
      </c>
      <c r="B81" s="4" t="s">
        <v>40</v>
      </c>
      <c r="C81" s="4" t="s">
        <v>41</v>
      </c>
      <c r="D81" s="4" t="s">
        <v>42</v>
      </c>
      <c r="E81" s="4">
        <v>4</v>
      </c>
      <c r="F81" s="4" t="s">
        <v>43</v>
      </c>
      <c r="G81" s="4" t="s">
        <v>44</v>
      </c>
      <c r="H81" s="5">
        <v>36488</v>
      </c>
      <c r="I81" s="4" t="str">
        <f t="shared" si="12"/>
        <v>mercredi</v>
      </c>
      <c r="J81" s="4" t="str">
        <f t="shared" si="13"/>
        <v>novembre</v>
      </c>
      <c r="K81" s="4">
        <f t="shared" si="14"/>
        <v>1999</v>
      </c>
      <c r="L81" s="4">
        <f t="shared" ca="1" si="15"/>
        <v>26</v>
      </c>
      <c r="M81" s="4">
        <v>4</v>
      </c>
      <c r="N81" s="4">
        <v>1586</v>
      </c>
      <c r="O81" s="13">
        <v>5.4</v>
      </c>
      <c r="P81" s="13">
        <v>4.9000000000000004</v>
      </c>
      <c r="Q81" s="13">
        <f t="shared" si="16"/>
        <v>5.15</v>
      </c>
      <c r="R81" s="4" t="str">
        <f t="shared" si="17"/>
        <v>REUSSITE</v>
      </c>
    </row>
    <row r="82" spans="1:18" ht="20.100000000000001" customHeight="1" x14ac:dyDescent="0.3">
      <c r="A82" s="4" t="s">
        <v>18</v>
      </c>
      <c r="B82" s="4" t="s">
        <v>201</v>
      </c>
      <c r="C82" s="4" t="s">
        <v>202</v>
      </c>
      <c r="D82" s="4" t="s">
        <v>203</v>
      </c>
      <c r="E82" s="4">
        <v>30</v>
      </c>
      <c r="F82" s="4" t="s">
        <v>22</v>
      </c>
      <c r="G82" s="4" t="s">
        <v>74</v>
      </c>
      <c r="H82" s="5">
        <v>37315</v>
      </c>
      <c r="I82" s="4" t="str">
        <f t="shared" si="12"/>
        <v>jeudi</v>
      </c>
      <c r="J82" s="4" t="str">
        <f t="shared" si="13"/>
        <v>février</v>
      </c>
      <c r="K82" s="4">
        <f t="shared" si="14"/>
        <v>2002</v>
      </c>
      <c r="L82" s="4">
        <f t="shared" ca="1" si="15"/>
        <v>23</v>
      </c>
      <c r="M82" s="4">
        <v>1</v>
      </c>
      <c r="N82" s="4">
        <v>732</v>
      </c>
      <c r="O82" s="13">
        <v>4.5</v>
      </c>
      <c r="P82" s="13">
        <v>4.2</v>
      </c>
      <c r="Q82" s="13">
        <f t="shared" si="16"/>
        <v>4.3499999999999996</v>
      </c>
      <c r="R82" s="4" t="str">
        <f t="shared" si="17"/>
        <v>REUSSITE</v>
      </c>
    </row>
    <row r="83" spans="1:18" ht="20.100000000000001" customHeight="1" x14ac:dyDescent="0.3">
      <c r="A83" s="4" t="s">
        <v>18</v>
      </c>
      <c r="B83" s="4" t="s">
        <v>150</v>
      </c>
      <c r="C83" s="4" t="s">
        <v>151</v>
      </c>
      <c r="D83" s="4" t="s">
        <v>152</v>
      </c>
      <c r="E83" s="4">
        <v>39</v>
      </c>
      <c r="F83" s="4" t="s">
        <v>27</v>
      </c>
      <c r="G83" s="4" t="s">
        <v>44</v>
      </c>
      <c r="H83" s="5">
        <v>36240</v>
      </c>
      <c r="I83" s="4" t="str">
        <f t="shared" si="12"/>
        <v>dimanche</v>
      </c>
      <c r="J83" s="4" t="str">
        <f t="shared" si="13"/>
        <v>mars</v>
      </c>
      <c r="K83" s="4">
        <f t="shared" si="14"/>
        <v>1999</v>
      </c>
      <c r="L83" s="4">
        <f t="shared" ca="1" si="15"/>
        <v>26</v>
      </c>
      <c r="M83" s="4">
        <v>3</v>
      </c>
      <c r="N83" s="4">
        <v>1364</v>
      </c>
      <c r="O83" s="13">
        <v>5.6</v>
      </c>
      <c r="P83" s="13">
        <v>4.7</v>
      </c>
      <c r="Q83" s="13">
        <f t="shared" si="16"/>
        <v>5.15</v>
      </c>
      <c r="R83" s="4" t="str">
        <f t="shared" si="17"/>
        <v>REUSSITE</v>
      </c>
    </row>
    <row r="84" spans="1:18" ht="20.100000000000001" customHeight="1" x14ac:dyDescent="0.3">
      <c r="A84" s="4" t="s">
        <v>18</v>
      </c>
      <c r="B84" s="4" t="s">
        <v>182</v>
      </c>
      <c r="C84" s="4" t="s">
        <v>183</v>
      </c>
      <c r="D84" s="4" t="s">
        <v>184</v>
      </c>
      <c r="E84" s="4">
        <v>17</v>
      </c>
      <c r="F84" s="4" t="s">
        <v>39</v>
      </c>
      <c r="G84" s="4" t="s">
        <v>44</v>
      </c>
      <c r="H84" s="5">
        <v>36812</v>
      </c>
      <c r="I84" s="4" t="str">
        <f t="shared" si="12"/>
        <v>vendredi</v>
      </c>
      <c r="J84" s="4" t="str">
        <f t="shared" si="13"/>
        <v>octobre</v>
      </c>
      <c r="K84" s="4">
        <f t="shared" si="14"/>
        <v>2000</v>
      </c>
      <c r="L84" s="4">
        <f t="shared" ca="1" si="15"/>
        <v>25</v>
      </c>
      <c r="M84" s="4">
        <v>1</v>
      </c>
      <c r="N84" s="4">
        <v>702</v>
      </c>
      <c r="O84" s="13">
        <v>5.7</v>
      </c>
      <c r="P84" s="13">
        <v>4.2</v>
      </c>
      <c r="Q84" s="13">
        <f t="shared" si="16"/>
        <v>4.95</v>
      </c>
      <c r="R84" s="4" t="str">
        <f t="shared" si="17"/>
        <v>REUSSITE</v>
      </c>
    </row>
    <row r="85" spans="1:18" ht="20.100000000000001" customHeight="1" x14ac:dyDescent="0.3">
      <c r="A85" s="4" t="s">
        <v>18</v>
      </c>
      <c r="B85" s="4" t="s">
        <v>75</v>
      </c>
      <c r="C85" s="4" t="s">
        <v>76</v>
      </c>
      <c r="D85" s="4" t="s">
        <v>77</v>
      </c>
      <c r="E85" s="4">
        <v>46</v>
      </c>
      <c r="F85" s="4" t="s">
        <v>43</v>
      </c>
      <c r="G85" s="4" t="s">
        <v>74</v>
      </c>
      <c r="H85" s="5">
        <v>33619</v>
      </c>
      <c r="I85" s="4" t="str">
        <f t="shared" si="12"/>
        <v>jeudi</v>
      </c>
      <c r="J85" s="4" t="str">
        <f t="shared" si="13"/>
        <v>janvier</v>
      </c>
      <c r="K85" s="4">
        <f t="shared" si="14"/>
        <v>1992</v>
      </c>
      <c r="L85" s="4">
        <f t="shared" ca="1" si="15"/>
        <v>33</v>
      </c>
      <c r="M85" s="4">
        <v>3</v>
      </c>
      <c r="N85" s="4">
        <v>1245</v>
      </c>
      <c r="O85" s="13">
        <v>4.9000000000000004</v>
      </c>
      <c r="P85" s="13">
        <v>5.2</v>
      </c>
      <c r="Q85" s="13">
        <f t="shared" si="16"/>
        <v>5.0500000000000007</v>
      </c>
      <c r="R85" s="4" t="str">
        <f t="shared" si="17"/>
        <v>REUSSITE</v>
      </c>
    </row>
    <row r="86" spans="1:18" ht="20.100000000000001" customHeight="1" x14ac:dyDescent="0.3">
      <c r="A86" s="4" t="s">
        <v>12</v>
      </c>
      <c r="B86" s="4" t="s">
        <v>88</v>
      </c>
      <c r="C86" s="4" t="s">
        <v>89</v>
      </c>
      <c r="D86" s="4" t="s">
        <v>90</v>
      </c>
      <c r="E86" s="4">
        <v>12</v>
      </c>
      <c r="F86" s="4" t="s">
        <v>43</v>
      </c>
      <c r="G86" s="4" t="s">
        <v>32</v>
      </c>
      <c r="H86" s="5">
        <v>33421</v>
      </c>
      <c r="I86" s="4" t="str">
        <f t="shared" si="12"/>
        <v>mardi</v>
      </c>
      <c r="J86" s="4" t="str">
        <f t="shared" si="13"/>
        <v>juillet</v>
      </c>
      <c r="K86" s="4">
        <f t="shared" si="14"/>
        <v>1991</v>
      </c>
      <c r="L86" s="4">
        <f t="shared" ca="1" si="15"/>
        <v>34</v>
      </c>
      <c r="M86" s="4">
        <v>3</v>
      </c>
      <c r="N86" s="4">
        <v>1414</v>
      </c>
      <c r="O86" s="13">
        <v>5.7</v>
      </c>
      <c r="P86" s="13">
        <v>3.7</v>
      </c>
      <c r="Q86" s="13">
        <f t="shared" si="16"/>
        <v>4.7</v>
      </c>
      <c r="R86" s="4" t="str">
        <f t="shared" si="17"/>
        <v>REUSSITE</v>
      </c>
    </row>
    <row r="87" spans="1:18" ht="20.100000000000001" customHeight="1" x14ac:dyDescent="0.3">
      <c r="A87" s="4" t="s">
        <v>18</v>
      </c>
      <c r="B87" s="4" t="s">
        <v>302</v>
      </c>
      <c r="C87" s="4" t="s">
        <v>303</v>
      </c>
      <c r="D87" s="4" t="s">
        <v>304</v>
      </c>
      <c r="E87" s="4">
        <v>41</v>
      </c>
      <c r="F87" s="4" t="s">
        <v>63</v>
      </c>
      <c r="G87" s="4" t="s">
        <v>32</v>
      </c>
      <c r="H87" s="5">
        <v>33564</v>
      </c>
      <c r="I87" s="4" t="str">
        <f t="shared" si="12"/>
        <v>vendredi</v>
      </c>
      <c r="J87" s="4" t="str">
        <f t="shared" si="13"/>
        <v>novembre</v>
      </c>
      <c r="K87" s="4">
        <f t="shared" si="14"/>
        <v>1991</v>
      </c>
      <c r="L87" s="4">
        <f t="shared" ca="1" si="15"/>
        <v>34</v>
      </c>
      <c r="M87" s="4">
        <v>3</v>
      </c>
      <c r="N87" s="4">
        <v>1384</v>
      </c>
      <c r="O87" s="13">
        <v>3.9</v>
      </c>
      <c r="P87" s="13">
        <v>3.5</v>
      </c>
      <c r="Q87" s="13">
        <f t="shared" si="16"/>
        <v>3.7</v>
      </c>
      <c r="R87" s="4" t="str">
        <f t="shared" si="17"/>
        <v>ECHEC</v>
      </c>
    </row>
    <row r="88" spans="1:18" ht="20.100000000000001" customHeight="1" x14ac:dyDescent="0.3">
      <c r="A88" s="4" t="s">
        <v>18</v>
      </c>
      <c r="B88" s="4" t="s">
        <v>153</v>
      </c>
      <c r="C88" s="4" t="s">
        <v>154</v>
      </c>
      <c r="D88" s="4" t="s">
        <v>155</v>
      </c>
      <c r="E88" s="4">
        <v>10</v>
      </c>
      <c r="F88" s="4" t="s">
        <v>43</v>
      </c>
      <c r="G88" s="4" t="s">
        <v>100</v>
      </c>
      <c r="H88" s="5">
        <v>35973</v>
      </c>
      <c r="I88" s="4" t="str">
        <f t="shared" si="12"/>
        <v>samedi</v>
      </c>
      <c r="J88" s="4" t="str">
        <f t="shared" si="13"/>
        <v>juin</v>
      </c>
      <c r="K88" s="4">
        <f t="shared" si="14"/>
        <v>1998</v>
      </c>
      <c r="L88" s="4">
        <f t="shared" ca="1" si="15"/>
        <v>27</v>
      </c>
      <c r="M88" s="4">
        <v>1</v>
      </c>
      <c r="N88" s="4">
        <v>788</v>
      </c>
      <c r="O88" s="13">
        <v>3.2</v>
      </c>
      <c r="P88" s="13">
        <v>5.6</v>
      </c>
      <c r="Q88" s="13">
        <f t="shared" si="16"/>
        <v>4.4000000000000004</v>
      </c>
      <c r="R88" s="4" t="str">
        <f t="shared" si="17"/>
        <v>REUSSITE</v>
      </c>
    </row>
    <row r="89" spans="1:18" ht="20.100000000000001" customHeight="1" x14ac:dyDescent="0.3">
      <c r="A89" s="4" t="s">
        <v>12</v>
      </c>
      <c r="B89" s="4" t="s">
        <v>49</v>
      </c>
      <c r="C89" s="4" t="s">
        <v>50</v>
      </c>
      <c r="D89" s="4" t="s">
        <v>51</v>
      </c>
      <c r="E89" s="4">
        <v>9</v>
      </c>
      <c r="F89" s="4" t="s">
        <v>27</v>
      </c>
      <c r="G89" s="4" t="s">
        <v>52</v>
      </c>
      <c r="H89" s="5">
        <v>36997</v>
      </c>
      <c r="I89" s="4" t="str">
        <f t="shared" si="12"/>
        <v>lundi</v>
      </c>
      <c r="J89" s="4" t="str">
        <f t="shared" si="13"/>
        <v>avril</v>
      </c>
      <c r="K89" s="4">
        <f t="shared" si="14"/>
        <v>2001</v>
      </c>
      <c r="L89" s="4">
        <f t="shared" ca="1" si="15"/>
        <v>24</v>
      </c>
      <c r="M89" s="4">
        <v>1</v>
      </c>
      <c r="N89" s="4">
        <v>761</v>
      </c>
      <c r="O89" s="13">
        <v>2.5</v>
      </c>
      <c r="P89" s="13">
        <v>4.7</v>
      </c>
      <c r="Q89" s="13">
        <f t="shared" si="16"/>
        <v>3.6</v>
      </c>
      <c r="R89" s="4" t="str">
        <f t="shared" si="17"/>
        <v>ECHEC</v>
      </c>
    </row>
    <row r="90" spans="1:18" ht="20.100000000000001" customHeight="1" x14ac:dyDescent="0.3">
      <c r="A90" s="4" t="s">
        <v>12</v>
      </c>
      <c r="B90" s="4" t="s">
        <v>211</v>
      </c>
      <c r="C90" s="4" t="s">
        <v>212</v>
      </c>
      <c r="D90" s="4" t="s">
        <v>213</v>
      </c>
      <c r="E90" s="4">
        <v>47</v>
      </c>
      <c r="F90" s="4" t="s">
        <v>43</v>
      </c>
      <c r="G90" s="4" t="s">
        <v>52</v>
      </c>
      <c r="H90" s="5">
        <v>35742</v>
      </c>
      <c r="I90" s="4" t="str">
        <f t="shared" si="12"/>
        <v>samedi</v>
      </c>
      <c r="J90" s="4" t="str">
        <f t="shared" si="13"/>
        <v>novembre</v>
      </c>
      <c r="K90" s="4">
        <f t="shared" si="14"/>
        <v>1997</v>
      </c>
      <c r="L90" s="4">
        <f t="shared" ca="1" si="15"/>
        <v>28</v>
      </c>
      <c r="M90" s="4">
        <v>3</v>
      </c>
      <c r="N90" s="4">
        <v>1303</v>
      </c>
      <c r="O90" s="13">
        <v>3</v>
      </c>
      <c r="P90" s="13">
        <v>5.2</v>
      </c>
      <c r="Q90" s="13">
        <f t="shared" si="16"/>
        <v>4.0999999999999996</v>
      </c>
      <c r="R90" s="4" t="str">
        <f t="shared" si="17"/>
        <v>REUSSITE</v>
      </c>
    </row>
    <row r="91" spans="1:18" ht="20.100000000000001" customHeight="1" x14ac:dyDescent="0.3">
      <c r="A91" s="4" t="s">
        <v>12</v>
      </c>
      <c r="B91" s="4" t="s">
        <v>237</v>
      </c>
      <c r="C91" s="4" t="s">
        <v>238</v>
      </c>
      <c r="D91" s="4" t="s">
        <v>239</v>
      </c>
      <c r="E91" s="4">
        <v>33</v>
      </c>
      <c r="F91" s="4" t="s">
        <v>63</v>
      </c>
      <c r="G91" s="4" t="s">
        <v>17</v>
      </c>
      <c r="H91" s="5">
        <v>36829</v>
      </c>
      <c r="I91" s="4" t="str">
        <f t="shared" si="12"/>
        <v>lundi</v>
      </c>
      <c r="J91" s="4" t="str">
        <f t="shared" si="13"/>
        <v>octobre</v>
      </c>
      <c r="K91" s="4">
        <f t="shared" si="14"/>
        <v>2000</v>
      </c>
      <c r="L91" s="4">
        <f t="shared" ca="1" si="15"/>
        <v>25</v>
      </c>
      <c r="M91" s="4">
        <v>3</v>
      </c>
      <c r="N91" s="4">
        <v>1342</v>
      </c>
      <c r="O91" s="13">
        <v>2.9</v>
      </c>
      <c r="P91" s="13">
        <v>3.7</v>
      </c>
      <c r="Q91" s="13">
        <f t="shared" si="16"/>
        <v>3.3</v>
      </c>
      <c r="R91" s="4" t="str">
        <f t="shared" si="17"/>
        <v>ECHEC</v>
      </c>
    </row>
    <row r="92" spans="1:18" ht="20.100000000000001" customHeight="1" x14ac:dyDescent="0.3">
      <c r="A92" s="4" t="s">
        <v>12</v>
      </c>
      <c r="B92" s="4" t="s">
        <v>193</v>
      </c>
      <c r="C92" s="4" t="s">
        <v>194</v>
      </c>
      <c r="D92" s="4" t="s">
        <v>195</v>
      </c>
      <c r="E92" s="4">
        <v>19</v>
      </c>
      <c r="F92" s="4" t="s">
        <v>27</v>
      </c>
      <c r="G92" s="4" t="s">
        <v>23</v>
      </c>
      <c r="H92" s="5">
        <v>36938</v>
      </c>
      <c r="I92" s="4" t="str">
        <f t="shared" si="12"/>
        <v>vendredi</v>
      </c>
      <c r="J92" s="4" t="str">
        <f t="shared" si="13"/>
        <v>février</v>
      </c>
      <c r="K92" s="4">
        <f t="shared" si="14"/>
        <v>2001</v>
      </c>
      <c r="L92" s="4">
        <f t="shared" ca="1" si="15"/>
        <v>24</v>
      </c>
      <c r="M92" s="4">
        <v>1</v>
      </c>
      <c r="N92" s="4">
        <v>725</v>
      </c>
      <c r="O92" s="13">
        <v>5.6</v>
      </c>
      <c r="P92" s="13">
        <v>5.3</v>
      </c>
      <c r="Q92" s="13">
        <f t="shared" si="16"/>
        <v>5.4499999999999993</v>
      </c>
      <c r="R92" s="4" t="str">
        <f t="shared" si="17"/>
        <v>REUSSITE</v>
      </c>
    </row>
    <row r="93" spans="1:18" ht="20.100000000000001" customHeight="1" x14ac:dyDescent="0.3">
      <c r="A93" s="4" t="s">
        <v>18</v>
      </c>
      <c r="B93" s="4" t="s">
        <v>78</v>
      </c>
      <c r="C93" s="4" t="s">
        <v>79</v>
      </c>
      <c r="D93" s="4" t="s">
        <v>80</v>
      </c>
      <c r="E93" s="4">
        <v>23</v>
      </c>
      <c r="F93" s="4" t="s">
        <v>16</v>
      </c>
      <c r="G93" s="4" t="s">
        <v>74</v>
      </c>
      <c r="H93" s="5">
        <v>34873</v>
      </c>
      <c r="I93" s="4" t="str">
        <f t="shared" si="12"/>
        <v>vendredi</v>
      </c>
      <c r="J93" s="4" t="str">
        <f t="shared" si="13"/>
        <v>juin</v>
      </c>
      <c r="K93" s="4">
        <f t="shared" si="14"/>
        <v>1995</v>
      </c>
      <c r="L93" s="4">
        <f t="shared" ca="1" si="15"/>
        <v>30</v>
      </c>
      <c r="M93" s="4">
        <v>3</v>
      </c>
      <c r="N93" s="4">
        <v>1448</v>
      </c>
      <c r="O93" s="13">
        <v>2.5</v>
      </c>
      <c r="P93" s="13">
        <v>4.4000000000000004</v>
      </c>
      <c r="Q93" s="13">
        <f t="shared" si="16"/>
        <v>3.45</v>
      </c>
      <c r="R93" s="4" t="str">
        <f t="shared" si="17"/>
        <v>ECHEC</v>
      </c>
    </row>
    <row r="94" spans="1:18" ht="20.100000000000001" customHeight="1" x14ac:dyDescent="0.3">
      <c r="A94" s="4" t="s">
        <v>18</v>
      </c>
      <c r="B94" s="4" t="s">
        <v>94</v>
      </c>
      <c r="C94" s="4" t="s">
        <v>95</v>
      </c>
      <c r="D94" s="4" t="s">
        <v>96</v>
      </c>
      <c r="E94" s="4">
        <v>3</v>
      </c>
      <c r="F94" s="4" t="s">
        <v>56</v>
      </c>
      <c r="G94" s="4" t="s">
        <v>17</v>
      </c>
      <c r="H94" s="5">
        <v>33565</v>
      </c>
      <c r="I94" s="4" t="str">
        <f t="shared" si="12"/>
        <v>samedi</v>
      </c>
      <c r="J94" s="4" t="str">
        <f t="shared" si="13"/>
        <v>novembre</v>
      </c>
      <c r="K94" s="4">
        <f t="shared" si="14"/>
        <v>1991</v>
      </c>
      <c r="L94" s="4">
        <f t="shared" ca="1" si="15"/>
        <v>34</v>
      </c>
      <c r="M94" s="4">
        <v>3</v>
      </c>
      <c r="N94" s="4">
        <v>1268</v>
      </c>
      <c r="O94" s="13">
        <v>2.5</v>
      </c>
      <c r="P94" s="13">
        <v>4.0999999999999996</v>
      </c>
      <c r="Q94" s="13">
        <f t="shared" si="16"/>
        <v>3.3</v>
      </c>
      <c r="R94" s="4" t="str">
        <f t="shared" si="17"/>
        <v>ECHEC</v>
      </c>
    </row>
    <row r="95" spans="1:18" ht="20.100000000000001" customHeight="1" x14ac:dyDescent="0.3">
      <c r="A95" s="4" t="s">
        <v>18</v>
      </c>
      <c r="B95" s="4" t="s">
        <v>129</v>
      </c>
      <c r="C95" s="4" t="s">
        <v>130</v>
      </c>
      <c r="D95" s="4" t="s">
        <v>131</v>
      </c>
      <c r="E95" s="4">
        <v>33</v>
      </c>
      <c r="F95" s="4" t="s">
        <v>27</v>
      </c>
      <c r="G95" s="4" t="s">
        <v>48</v>
      </c>
      <c r="H95" s="5">
        <v>35596</v>
      </c>
      <c r="I95" s="4" t="str">
        <f t="shared" si="12"/>
        <v>dimanche</v>
      </c>
      <c r="J95" s="4" t="str">
        <f t="shared" si="13"/>
        <v>juin</v>
      </c>
      <c r="K95" s="4">
        <f t="shared" si="14"/>
        <v>1997</v>
      </c>
      <c r="L95" s="4">
        <f t="shared" ca="1" si="15"/>
        <v>28</v>
      </c>
      <c r="M95" s="4">
        <v>1</v>
      </c>
      <c r="N95" s="4">
        <v>728</v>
      </c>
      <c r="O95" s="13">
        <v>4.7</v>
      </c>
      <c r="P95" s="13">
        <v>3.9</v>
      </c>
      <c r="Q95" s="13">
        <f t="shared" si="16"/>
        <v>4.3</v>
      </c>
      <c r="R95" s="4" t="str">
        <f t="shared" si="17"/>
        <v>REUSSITE</v>
      </c>
    </row>
    <row r="96" spans="1:18" ht="20.100000000000001" customHeight="1" x14ac:dyDescent="0.3">
      <c r="A96" s="4" t="s">
        <v>18</v>
      </c>
      <c r="B96" s="4" t="s">
        <v>271</v>
      </c>
      <c r="C96" s="4" t="s">
        <v>272</v>
      </c>
      <c r="D96" s="4" t="s">
        <v>273</v>
      </c>
      <c r="E96" s="4">
        <v>47</v>
      </c>
      <c r="F96" s="4" t="s">
        <v>56</v>
      </c>
      <c r="G96" s="4" t="s">
        <v>32</v>
      </c>
      <c r="H96" s="5">
        <v>34782</v>
      </c>
      <c r="I96" s="4" t="str">
        <f t="shared" si="12"/>
        <v>vendredi</v>
      </c>
      <c r="J96" s="4" t="str">
        <f t="shared" si="13"/>
        <v>mars</v>
      </c>
      <c r="K96" s="4">
        <f t="shared" si="14"/>
        <v>1995</v>
      </c>
      <c r="L96" s="4">
        <f t="shared" ca="1" si="15"/>
        <v>30</v>
      </c>
      <c r="M96" s="4">
        <v>1</v>
      </c>
      <c r="N96" s="4">
        <v>736</v>
      </c>
      <c r="O96" s="13">
        <v>2.7</v>
      </c>
      <c r="P96" s="13">
        <v>5.8</v>
      </c>
      <c r="Q96" s="13">
        <f t="shared" si="16"/>
        <v>4.25</v>
      </c>
      <c r="R96" s="4" t="str">
        <f t="shared" si="17"/>
        <v>REUSSITE</v>
      </c>
    </row>
    <row r="97" spans="1:18" ht="20.100000000000001" customHeight="1" x14ac:dyDescent="0.3">
      <c r="A97" s="4" t="s">
        <v>18</v>
      </c>
      <c r="B97" s="4" t="s">
        <v>135</v>
      </c>
      <c r="C97" s="4" t="s">
        <v>136</v>
      </c>
      <c r="D97" s="4" t="s">
        <v>137</v>
      </c>
      <c r="E97" s="4">
        <v>14</v>
      </c>
      <c r="F97" s="4" t="s">
        <v>27</v>
      </c>
      <c r="G97" s="4" t="s">
        <v>32</v>
      </c>
      <c r="H97" s="5">
        <v>35263</v>
      </c>
      <c r="I97" s="4" t="str">
        <f t="shared" si="12"/>
        <v>mercredi</v>
      </c>
      <c r="J97" s="4" t="str">
        <f t="shared" si="13"/>
        <v>juillet</v>
      </c>
      <c r="K97" s="4">
        <f t="shared" si="14"/>
        <v>1996</v>
      </c>
      <c r="L97" s="4">
        <f t="shared" ca="1" si="15"/>
        <v>29</v>
      </c>
      <c r="M97" s="4">
        <v>2</v>
      </c>
      <c r="N97" s="4">
        <v>1246</v>
      </c>
      <c r="O97" s="13">
        <v>2.6</v>
      </c>
      <c r="P97" s="13">
        <v>3.6</v>
      </c>
      <c r="Q97" s="13">
        <f t="shared" si="16"/>
        <v>3.1</v>
      </c>
      <c r="R97" s="4" t="str">
        <f t="shared" si="17"/>
        <v>ECHEC</v>
      </c>
    </row>
    <row r="98" spans="1:18" ht="20.100000000000001" customHeight="1" x14ac:dyDescent="0.3">
      <c r="A98" s="4" t="s">
        <v>12</v>
      </c>
      <c r="B98" s="4" t="s">
        <v>234</v>
      </c>
      <c r="C98" s="4" t="s">
        <v>235</v>
      </c>
      <c r="D98" s="4" t="s">
        <v>236</v>
      </c>
      <c r="E98" s="4">
        <v>44</v>
      </c>
      <c r="F98" s="4" t="s">
        <v>43</v>
      </c>
      <c r="G98" s="4" t="s">
        <v>44</v>
      </c>
      <c r="H98" s="5">
        <v>37141</v>
      </c>
      <c r="I98" s="4" t="str">
        <f t="shared" ref="I98:I129" si="18">TEXT(H98,"jjjj")</f>
        <v>vendredi</v>
      </c>
      <c r="J98" s="4" t="str">
        <f t="shared" si="13"/>
        <v>septembre</v>
      </c>
      <c r="K98" s="4">
        <f t="shared" si="14"/>
        <v>2001</v>
      </c>
      <c r="L98" s="4">
        <f t="shared" ref="L98:L129" ca="1" si="19">YEAR(TODAY())-K98</f>
        <v>24</v>
      </c>
      <c r="M98" s="4">
        <v>4</v>
      </c>
      <c r="N98" s="4">
        <v>1888</v>
      </c>
      <c r="O98" s="13">
        <v>4.5999999999999996</v>
      </c>
      <c r="P98" s="13">
        <v>4.2</v>
      </c>
      <c r="Q98" s="13">
        <f t="shared" ref="Q98:Q129" si="20">AVERAGE(O98,P98)</f>
        <v>4.4000000000000004</v>
      </c>
      <c r="R98" s="4" t="str">
        <f t="shared" ref="R98:R129" si="21">IF(Q98&lt;4,"ECHEC","REUSSITE")</f>
        <v>REUSSITE</v>
      </c>
    </row>
    <row r="99" spans="1:18" ht="20.100000000000001" customHeight="1" x14ac:dyDescent="0.3">
      <c r="A99" s="4" t="s">
        <v>18</v>
      </c>
      <c r="B99" s="4" t="s">
        <v>24</v>
      </c>
      <c r="C99" s="4" t="s">
        <v>25</v>
      </c>
      <c r="D99" s="4" t="s">
        <v>26</v>
      </c>
      <c r="E99" s="4">
        <v>49</v>
      </c>
      <c r="F99" s="4" t="s">
        <v>27</v>
      </c>
      <c r="G99" s="4" t="s">
        <v>28</v>
      </c>
      <c r="H99" s="5">
        <v>35624</v>
      </c>
      <c r="I99" s="4" t="str">
        <f t="shared" si="18"/>
        <v>dimanche</v>
      </c>
      <c r="J99" s="4" t="str">
        <f t="shared" si="13"/>
        <v>juillet</v>
      </c>
      <c r="K99" s="4">
        <f t="shared" si="14"/>
        <v>1997</v>
      </c>
      <c r="L99" s="4">
        <f t="shared" ca="1" si="19"/>
        <v>28</v>
      </c>
      <c r="M99" s="4">
        <v>4</v>
      </c>
      <c r="N99" s="4">
        <v>1773</v>
      </c>
      <c r="O99" s="13">
        <v>3.3</v>
      </c>
      <c r="P99" s="13">
        <v>3.8</v>
      </c>
      <c r="Q99" s="13">
        <f t="shared" si="20"/>
        <v>3.55</v>
      </c>
      <c r="R99" s="4" t="str">
        <f t="shared" si="21"/>
        <v>ECHEC</v>
      </c>
    </row>
    <row r="100" spans="1:18" ht="20.100000000000001" customHeight="1" x14ac:dyDescent="0.3">
      <c r="A100" s="4" t="s">
        <v>18</v>
      </c>
      <c r="B100" s="4" t="s">
        <v>180</v>
      </c>
      <c r="C100" s="4" t="s">
        <v>151</v>
      </c>
      <c r="D100" s="4" t="s">
        <v>181</v>
      </c>
      <c r="E100" s="4">
        <v>47</v>
      </c>
      <c r="F100" s="4" t="s">
        <v>63</v>
      </c>
      <c r="G100" s="4" t="s">
        <v>87</v>
      </c>
      <c r="H100" s="5">
        <v>35258</v>
      </c>
      <c r="I100" s="4" t="str">
        <f t="shared" si="18"/>
        <v>vendredi</v>
      </c>
      <c r="J100" s="4" t="str">
        <f t="shared" si="13"/>
        <v>juillet</v>
      </c>
      <c r="K100" s="4">
        <f t="shared" si="14"/>
        <v>1996</v>
      </c>
      <c r="L100" s="4">
        <f t="shared" ca="1" si="19"/>
        <v>29</v>
      </c>
      <c r="M100" s="4">
        <v>1</v>
      </c>
      <c r="N100" s="4">
        <v>759</v>
      </c>
      <c r="O100" s="13">
        <v>4.5999999999999996</v>
      </c>
      <c r="P100" s="13">
        <v>5.2</v>
      </c>
      <c r="Q100" s="13">
        <f t="shared" si="20"/>
        <v>4.9000000000000004</v>
      </c>
      <c r="R100" s="4" t="str">
        <f t="shared" si="21"/>
        <v>REUSSITE</v>
      </c>
    </row>
    <row r="101" spans="1:18" ht="20.100000000000001" customHeight="1" x14ac:dyDescent="0.3">
      <c r="A101" s="4" t="s">
        <v>12</v>
      </c>
      <c r="B101" s="4" t="s">
        <v>219</v>
      </c>
      <c r="C101" s="4" t="s">
        <v>220</v>
      </c>
      <c r="D101" s="4" t="s">
        <v>221</v>
      </c>
      <c r="E101" s="4">
        <v>43</v>
      </c>
      <c r="F101" s="4" t="s">
        <v>39</v>
      </c>
      <c r="G101" s="4" t="s">
        <v>23</v>
      </c>
      <c r="H101" s="5">
        <v>36857</v>
      </c>
      <c r="I101" s="4" t="str">
        <f t="shared" si="18"/>
        <v>lundi</v>
      </c>
      <c r="J101" s="4" t="str">
        <f t="shared" si="13"/>
        <v>novembre</v>
      </c>
      <c r="K101" s="4">
        <f t="shared" si="14"/>
        <v>2000</v>
      </c>
      <c r="L101" s="4">
        <f t="shared" ca="1" si="19"/>
        <v>25</v>
      </c>
      <c r="M101" s="4">
        <v>3</v>
      </c>
      <c r="N101" s="4">
        <v>1238</v>
      </c>
      <c r="O101" s="13">
        <v>4.8</v>
      </c>
      <c r="P101" s="13">
        <v>5.9</v>
      </c>
      <c r="Q101" s="13">
        <f t="shared" si="20"/>
        <v>5.35</v>
      </c>
      <c r="R101" s="4" t="str">
        <f t="shared" si="21"/>
        <v>REUSSITE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5B5C-8552-461B-9007-F27064B5C171}">
  <sheetPr>
    <pageSetUpPr fitToPage="1"/>
  </sheetPr>
  <dimension ref="A1:R101"/>
  <sheetViews>
    <sheetView zoomScaleNormal="100" workbookViewId="0"/>
  </sheetViews>
  <sheetFormatPr baseColWidth="10" defaultColWidth="15.77734375" defaultRowHeight="20.100000000000001" customHeight="1" x14ac:dyDescent="0.3"/>
  <cols>
    <col min="1" max="3" width="15.77734375" style="3"/>
    <col min="4" max="4" width="29.21875" style="3" customWidth="1"/>
    <col min="5" max="13" width="15.77734375" style="3" customWidth="1"/>
    <col min="14" max="14" width="15.77734375" style="3"/>
    <col min="15" max="16" width="15.77734375" style="3" customWidth="1"/>
    <col min="17" max="17" width="15.77734375" style="3"/>
    <col min="18" max="18" width="15.77734375" style="3" customWidth="1"/>
    <col min="19" max="16384" width="15.77734375" style="3"/>
  </cols>
  <sheetData>
    <row r="1" spans="1:18" ht="50.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468</v>
      </c>
      <c r="H1" s="7" t="s">
        <v>469</v>
      </c>
      <c r="I1" s="2" t="s">
        <v>6</v>
      </c>
      <c r="J1" s="2" t="s">
        <v>7</v>
      </c>
      <c r="K1" s="2" t="s">
        <v>8</v>
      </c>
      <c r="L1" s="2" t="s">
        <v>9</v>
      </c>
      <c r="M1" s="6" t="s">
        <v>470</v>
      </c>
      <c r="N1" s="2" t="s">
        <v>10</v>
      </c>
      <c r="O1" s="6" t="s">
        <v>467</v>
      </c>
      <c r="P1" s="6" t="s">
        <v>471</v>
      </c>
      <c r="Q1" s="6" t="s">
        <v>472</v>
      </c>
      <c r="R1" s="2" t="s">
        <v>11</v>
      </c>
    </row>
    <row r="2" spans="1:18" ht="20.100000000000001" customHeight="1" x14ac:dyDescent="0.3">
      <c r="A2" s="4" t="s">
        <v>18</v>
      </c>
      <c r="B2" s="4" t="s">
        <v>249</v>
      </c>
      <c r="C2" s="4" t="s">
        <v>250</v>
      </c>
      <c r="D2" s="4" t="s">
        <v>251</v>
      </c>
      <c r="E2" s="4">
        <v>13</v>
      </c>
      <c r="F2" s="4" t="s">
        <v>56</v>
      </c>
      <c r="G2" s="4" t="s">
        <v>23</v>
      </c>
      <c r="H2" s="5">
        <v>36558</v>
      </c>
      <c r="I2" s="4" t="str">
        <f t="shared" ref="I2:I33" si="0">TEXT(H2,"jjjj")</f>
        <v>mercredi</v>
      </c>
      <c r="J2" s="4" t="str">
        <f t="shared" ref="J2:J33" si="1">TEXT(H2,"mmmm")</f>
        <v>février</v>
      </c>
      <c r="K2" s="4">
        <f t="shared" ref="K2:K33" si="2">YEAR(H2)</f>
        <v>2000</v>
      </c>
      <c r="L2" s="4">
        <f t="shared" ref="L2:L33" ca="1" si="3">YEAR(TODAY())-K2</f>
        <v>25</v>
      </c>
      <c r="M2" s="4">
        <v>2</v>
      </c>
      <c r="N2" s="4">
        <v>1066</v>
      </c>
      <c r="O2" s="13">
        <v>3.3</v>
      </c>
      <c r="P2" s="13">
        <v>5.6</v>
      </c>
      <c r="Q2" s="13">
        <f t="shared" ref="Q2:Q33" si="4">AVERAGE(O2,P2)</f>
        <v>4.4499999999999993</v>
      </c>
      <c r="R2" s="4" t="str">
        <f t="shared" ref="R2:R33" si="5">IF(Q2&lt;4,"ECHEC","REUSSITE")</f>
        <v>REUSSITE</v>
      </c>
    </row>
    <row r="3" spans="1:18" ht="20.100000000000001" customHeight="1" x14ac:dyDescent="0.3">
      <c r="A3" s="4" t="s">
        <v>18</v>
      </c>
      <c r="B3" s="4" t="s">
        <v>276</v>
      </c>
      <c r="C3" s="4" t="s">
        <v>277</v>
      </c>
      <c r="D3" s="4" t="s">
        <v>278</v>
      </c>
      <c r="E3" s="4">
        <v>25</v>
      </c>
      <c r="F3" s="4" t="s">
        <v>39</v>
      </c>
      <c r="G3" s="4" t="s">
        <v>87</v>
      </c>
      <c r="H3" s="5">
        <v>37379</v>
      </c>
      <c r="I3" s="4" t="str">
        <f t="shared" si="0"/>
        <v>vendredi</v>
      </c>
      <c r="J3" s="4" t="str">
        <f t="shared" si="1"/>
        <v>mai</v>
      </c>
      <c r="K3" s="4">
        <f t="shared" si="2"/>
        <v>2002</v>
      </c>
      <c r="L3" s="4">
        <f t="shared" ca="1" si="3"/>
        <v>23</v>
      </c>
      <c r="M3" s="4">
        <v>1</v>
      </c>
      <c r="N3" s="4">
        <v>731</v>
      </c>
      <c r="O3" s="13">
        <v>5.6</v>
      </c>
      <c r="P3" s="13">
        <v>4</v>
      </c>
      <c r="Q3" s="13">
        <f t="shared" si="4"/>
        <v>4.8</v>
      </c>
      <c r="R3" s="4" t="str">
        <f t="shared" si="5"/>
        <v>REUSSITE</v>
      </c>
    </row>
    <row r="4" spans="1:18" ht="20.100000000000001" customHeight="1" x14ac:dyDescent="0.3">
      <c r="A4" s="4" t="s">
        <v>18</v>
      </c>
      <c r="B4" s="4" t="s">
        <v>185</v>
      </c>
      <c r="C4" s="4" t="s">
        <v>186</v>
      </c>
      <c r="D4" s="4" t="s">
        <v>187</v>
      </c>
      <c r="E4" s="4">
        <v>26</v>
      </c>
      <c r="F4" s="4" t="s">
        <v>22</v>
      </c>
      <c r="G4" s="4" t="s">
        <v>125</v>
      </c>
      <c r="H4" s="5">
        <v>35934</v>
      </c>
      <c r="I4" s="4" t="str">
        <f t="shared" si="0"/>
        <v>mardi</v>
      </c>
      <c r="J4" s="4" t="str">
        <f t="shared" si="1"/>
        <v>mai</v>
      </c>
      <c r="K4" s="4">
        <f t="shared" si="2"/>
        <v>1998</v>
      </c>
      <c r="L4" s="4">
        <f t="shared" ca="1" si="3"/>
        <v>27</v>
      </c>
      <c r="M4" s="4">
        <v>1</v>
      </c>
      <c r="N4" s="4">
        <v>761</v>
      </c>
      <c r="O4" s="13">
        <v>4.7</v>
      </c>
      <c r="P4" s="13">
        <v>5.4</v>
      </c>
      <c r="Q4" s="13">
        <f t="shared" si="4"/>
        <v>5.0500000000000007</v>
      </c>
      <c r="R4" s="4" t="str">
        <f t="shared" si="5"/>
        <v>REUSSITE</v>
      </c>
    </row>
    <row r="5" spans="1:18" ht="20.100000000000001" customHeight="1" x14ac:dyDescent="0.3">
      <c r="A5" s="4" t="s">
        <v>18</v>
      </c>
      <c r="B5" s="4" t="s">
        <v>240</v>
      </c>
      <c r="C5" s="4" t="s">
        <v>241</v>
      </c>
      <c r="D5" s="4" t="s">
        <v>242</v>
      </c>
      <c r="E5" s="4">
        <v>20</v>
      </c>
      <c r="F5" s="4" t="s">
        <v>56</v>
      </c>
      <c r="G5" s="4" t="s">
        <v>210</v>
      </c>
      <c r="H5" s="5">
        <v>33739</v>
      </c>
      <c r="I5" s="4" t="str">
        <f t="shared" si="0"/>
        <v>vendredi</v>
      </c>
      <c r="J5" s="4" t="str">
        <f t="shared" si="1"/>
        <v>mai</v>
      </c>
      <c r="K5" s="4">
        <f t="shared" si="2"/>
        <v>1992</v>
      </c>
      <c r="L5" s="4">
        <f t="shared" ca="1" si="3"/>
        <v>33</v>
      </c>
      <c r="M5" s="4">
        <v>1</v>
      </c>
      <c r="N5" s="4">
        <v>797</v>
      </c>
      <c r="O5" s="13">
        <v>5.8</v>
      </c>
      <c r="P5" s="13">
        <v>4.4000000000000004</v>
      </c>
      <c r="Q5" s="13">
        <f t="shared" si="4"/>
        <v>5.0999999999999996</v>
      </c>
      <c r="R5" s="4" t="str">
        <f t="shared" si="5"/>
        <v>REUSSITE</v>
      </c>
    </row>
    <row r="6" spans="1:18" ht="20.100000000000001" customHeight="1" x14ac:dyDescent="0.3">
      <c r="A6" s="4" t="s">
        <v>12</v>
      </c>
      <c r="B6" s="4" t="s">
        <v>196</v>
      </c>
      <c r="C6" s="4" t="s">
        <v>197</v>
      </c>
      <c r="D6" s="4" t="s">
        <v>198</v>
      </c>
      <c r="E6" s="4">
        <v>18</v>
      </c>
      <c r="F6" s="4" t="s">
        <v>63</v>
      </c>
      <c r="G6" s="4" t="s">
        <v>23</v>
      </c>
      <c r="H6" s="5">
        <v>35768</v>
      </c>
      <c r="I6" s="4" t="str">
        <f t="shared" si="0"/>
        <v>jeudi</v>
      </c>
      <c r="J6" s="4" t="str">
        <f t="shared" si="1"/>
        <v>décembre</v>
      </c>
      <c r="K6" s="4">
        <f t="shared" si="2"/>
        <v>1997</v>
      </c>
      <c r="L6" s="4">
        <f t="shared" ca="1" si="3"/>
        <v>28</v>
      </c>
      <c r="M6" s="4">
        <v>2</v>
      </c>
      <c r="N6" s="4">
        <v>1023</v>
      </c>
      <c r="O6" s="13">
        <v>2.7</v>
      </c>
      <c r="P6" s="13">
        <v>5.5</v>
      </c>
      <c r="Q6" s="13">
        <f t="shared" si="4"/>
        <v>4.0999999999999996</v>
      </c>
      <c r="R6" s="4" t="str">
        <f t="shared" si="5"/>
        <v>REUSSITE</v>
      </c>
    </row>
    <row r="7" spans="1:18" ht="20.100000000000001" customHeight="1" x14ac:dyDescent="0.3">
      <c r="A7" s="4" t="s">
        <v>18</v>
      </c>
      <c r="B7" s="4" t="s">
        <v>64</v>
      </c>
      <c r="C7" s="4" t="s">
        <v>65</v>
      </c>
      <c r="D7" s="4" t="s">
        <v>66</v>
      </c>
      <c r="E7" s="4">
        <v>6</v>
      </c>
      <c r="F7" s="4" t="s">
        <v>67</v>
      </c>
      <c r="G7" s="4" t="s">
        <v>44</v>
      </c>
      <c r="H7" s="5">
        <v>35503</v>
      </c>
      <c r="I7" s="4" t="str">
        <f t="shared" si="0"/>
        <v>vendredi</v>
      </c>
      <c r="J7" s="4" t="str">
        <f t="shared" si="1"/>
        <v>mars</v>
      </c>
      <c r="K7" s="4">
        <f t="shared" si="2"/>
        <v>1997</v>
      </c>
      <c r="L7" s="4">
        <f t="shared" ca="1" si="3"/>
        <v>28</v>
      </c>
      <c r="M7" s="4">
        <v>1</v>
      </c>
      <c r="N7" s="4">
        <v>785</v>
      </c>
      <c r="O7" s="13">
        <v>3.6</v>
      </c>
      <c r="P7" s="13">
        <v>3.7</v>
      </c>
      <c r="Q7" s="13">
        <f t="shared" si="4"/>
        <v>3.6500000000000004</v>
      </c>
      <c r="R7" s="4" t="str">
        <f t="shared" si="5"/>
        <v>ECHEC</v>
      </c>
    </row>
    <row r="8" spans="1:18" ht="20.100000000000001" customHeight="1" x14ac:dyDescent="0.3">
      <c r="A8" s="4" t="s">
        <v>12</v>
      </c>
      <c r="B8" s="4" t="s">
        <v>260</v>
      </c>
      <c r="C8" s="4" t="s">
        <v>261</v>
      </c>
      <c r="D8" s="4" t="s">
        <v>262</v>
      </c>
      <c r="E8" s="4">
        <v>47</v>
      </c>
      <c r="F8" s="4" t="s">
        <v>56</v>
      </c>
      <c r="G8" s="4" t="s">
        <v>210</v>
      </c>
      <c r="H8" s="5">
        <v>36235</v>
      </c>
      <c r="I8" s="4" t="str">
        <f t="shared" si="0"/>
        <v>mardi</v>
      </c>
      <c r="J8" s="4" t="str">
        <f t="shared" si="1"/>
        <v>mars</v>
      </c>
      <c r="K8" s="4">
        <f t="shared" si="2"/>
        <v>1999</v>
      </c>
      <c r="L8" s="4">
        <f t="shared" ca="1" si="3"/>
        <v>26</v>
      </c>
      <c r="M8" s="4">
        <v>2</v>
      </c>
      <c r="N8" s="4">
        <v>1194</v>
      </c>
      <c r="O8" s="13">
        <v>3.4</v>
      </c>
      <c r="P8" s="13">
        <v>5.5</v>
      </c>
      <c r="Q8" s="13">
        <f t="shared" si="4"/>
        <v>4.45</v>
      </c>
      <c r="R8" s="4" t="str">
        <f t="shared" si="5"/>
        <v>REUSSITE</v>
      </c>
    </row>
    <row r="9" spans="1:18" ht="20.100000000000001" customHeight="1" x14ac:dyDescent="0.3">
      <c r="A9" s="4" t="s">
        <v>18</v>
      </c>
      <c r="B9" s="4" t="s">
        <v>279</v>
      </c>
      <c r="C9" s="4" t="s">
        <v>280</v>
      </c>
      <c r="D9" s="4" t="s">
        <v>281</v>
      </c>
      <c r="E9" s="4">
        <v>36</v>
      </c>
      <c r="F9" s="4" t="s">
        <v>56</v>
      </c>
      <c r="G9" s="4" t="s">
        <v>23</v>
      </c>
      <c r="H9" s="5">
        <v>34727</v>
      </c>
      <c r="I9" s="4" t="str">
        <f t="shared" si="0"/>
        <v>samedi</v>
      </c>
      <c r="J9" s="4" t="str">
        <f t="shared" si="1"/>
        <v>janvier</v>
      </c>
      <c r="K9" s="4">
        <f t="shared" si="2"/>
        <v>1995</v>
      </c>
      <c r="L9" s="4">
        <f t="shared" ca="1" si="3"/>
        <v>30</v>
      </c>
      <c r="M9" s="4">
        <v>3</v>
      </c>
      <c r="N9" s="4">
        <v>1482</v>
      </c>
      <c r="O9" s="13">
        <v>3.8</v>
      </c>
      <c r="P9" s="13">
        <v>4.3</v>
      </c>
      <c r="Q9" s="13">
        <f t="shared" si="4"/>
        <v>4.05</v>
      </c>
      <c r="R9" s="4" t="str">
        <f t="shared" si="5"/>
        <v>REUSSITE</v>
      </c>
    </row>
    <row r="10" spans="1:18" ht="20.100000000000001" customHeight="1" x14ac:dyDescent="0.3">
      <c r="A10" s="4" t="s">
        <v>18</v>
      </c>
      <c r="B10" s="4" t="s">
        <v>171</v>
      </c>
      <c r="C10" s="4" t="s">
        <v>172</v>
      </c>
      <c r="D10" s="4" t="s">
        <v>173</v>
      </c>
      <c r="E10" s="4">
        <v>42</v>
      </c>
      <c r="F10" s="4" t="s">
        <v>63</v>
      </c>
      <c r="G10" s="4" t="s">
        <v>32</v>
      </c>
      <c r="H10" s="5">
        <v>36350</v>
      </c>
      <c r="I10" s="4" t="str">
        <f t="shared" si="0"/>
        <v>vendredi</v>
      </c>
      <c r="J10" s="4" t="str">
        <f t="shared" si="1"/>
        <v>juillet</v>
      </c>
      <c r="K10" s="4">
        <f t="shared" si="2"/>
        <v>1999</v>
      </c>
      <c r="L10" s="4">
        <f t="shared" ca="1" si="3"/>
        <v>26</v>
      </c>
      <c r="M10" s="4">
        <v>4</v>
      </c>
      <c r="N10" s="4">
        <v>1839</v>
      </c>
      <c r="O10" s="13">
        <v>2.7</v>
      </c>
      <c r="P10" s="13">
        <v>5.5</v>
      </c>
      <c r="Q10" s="13">
        <f t="shared" si="4"/>
        <v>4.0999999999999996</v>
      </c>
      <c r="R10" s="4" t="str">
        <f t="shared" si="5"/>
        <v>REUSSITE</v>
      </c>
    </row>
    <row r="11" spans="1:18" ht="20.100000000000001" customHeight="1" x14ac:dyDescent="0.3">
      <c r="A11" s="4" t="s">
        <v>18</v>
      </c>
      <c r="B11" s="4" t="s">
        <v>284</v>
      </c>
      <c r="C11" s="4" t="s">
        <v>285</v>
      </c>
      <c r="D11" s="4" t="s">
        <v>286</v>
      </c>
      <c r="E11" s="4">
        <v>8</v>
      </c>
      <c r="F11" s="4" t="s">
        <v>27</v>
      </c>
      <c r="G11" s="4" t="s">
        <v>48</v>
      </c>
      <c r="H11" s="5">
        <v>36394</v>
      </c>
      <c r="I11" s="4" t="str">
        <f t="shared" si="0"/>
        <v>dimanche</v>
      </c>
      <c r="J11" s="4" t="str">
        <f t="shared" si="1"/>
        <v>août</v>
      </c>
      <c r="K11" s="4">
        <f t="shared" si="2"/>
        <v>1999</v>
      </c>
      <c r="L11" s="4">
        <f t="shared" ca="1" si="3"/>
        <v>26</v>
      </c>
      <c r="M11" s="4">
        <v>2</v>
      </c>
      <c r="N11" s="4">
        <v>1140</v>
      </c>
      <c r="O11" s="13">
        <v>4.8</v>
      </c>
      <c r="P11" s="13">
        <v>5</v>
      </c>
      <c r="Q11" s="13">
        <f t="shared" si="4"/>
        <v>4.9000000000000004</v>
      </c>
      <c r="R11" s="4" t="str">
        <f t="shared" si="5"/>
        <v>REUSSITE</v>
      </c>
    </row>
    <row r="12" spans="1:18" ht="20.100000000000001" customHeight="1" x14ac:dyDescent="0.3">
      <c r="A12" s="4" t="s">
        <v>18</v>
      </c>
      <c r="B12" s="4" t="s">
        <v>252</v>
      </c>
      <c r="C12" s="4" t="s">
        <v>253</v>
      </c>
      <c r="D12" s="4" t="s">
        <v>254</v>
      </c>
      <c r="E12" s="4">
        <v>20</v>
      </c>
      <c r="F12" s="4" t="s">
        <v>39</v>
      </c>
      <c r="G12" s="4" t="s">
        <v>44</v>
      </c>
      <c r="H12" s="5">
        <v>35938</v>
      </c>
      <c r="I12" s="4" t="str">
        <f t="shared" si="0"/>
        <v>samedi</v>
      </c>
      <c r="J12" s="4" t="str">
        <f t="shared" si="1"/>
        <v>mai</v>
      </c>
      <c r="K12" s="4">
        <f t="shared" si="2"/>
        <v>1998</v>
      </c>
      <c r="L12" s="4">
        <f t="shared" ca="1" si="3"/>
        <v>27</v>
      </c>
      <c r="M12" s="4">
        <v>1</v>
      </c>
      <c r="N12" s="4">
        <v>744</v>
      </c>
      <c r="O12" s="13">
        <v>5</v>
      </c>
      <c r="P12" s="13">
        <v>5.0999999999999996</v>
      </c>
      <c r="Q12" s="13">
        <f t="shared" si="4"/>
        <v>5.05</v>
      </c>
      <c r="R12" s="4" t="str">
        <f t="shared" si="5"/>
        <v>REUSSITE</v>
      </c>
    </row>
    <row r="13" spans="1:18" ht="20.100000000000001" customHeight="1" x14ac:dyDescent="0.3">
      <c r="A13" s="4" t="s">
        <v>18</v>
      </c>
      <c r="B13" s="4" t="s">
        <v>122</v>
      </c>
      <c r="C13" s="4" t="s">
        <v>123</v>
      </c>
      <c r="D13" s="4" t="s">
        <v>124</v>
      </c>
      <c r="E13" s="4">
        <v>29</v>
      </c>
      <c r="F13" s="4" t="s">
        <v>22</v>
      </c>
      <c r="G13" s="4" t="s">
        <v>125</v>
      </c>
      <c r="H13" s="5">
        <v>33831</v>
      </c>
      <c r="I13" s="4" t="str">
        <f t="shared" si="0"/>
        <v>samedi</v>
      </c>
      <c r="J13" s="4" t="str">
        <f t="shared" si="1"/>
        <v>août</v>
      </c>
      <c r="K13" s="4">
        <f t="shared" si="2"/>
        <v>1992</v>
      </c>
      <c r="L13" s="4">
        <f t="shared" ca="1" si="3"/>
        <v>33</v>
      </c>
      <c r="M13" s="4">
        <v>1</v>
      </c>
      <c r="N13" s="4">
        <v>786</v>
      </c>
      <c r="O13" s="13">
        <v>3</v>
      </c>
      <c r="P13" s="13">
        <v>5.2</v>
      </c>
      <c r="Q13" s="13">
        <f t="shared" si="4"/>
        <v>4.0999999999999996</v>
      </c>
      <c r="R13" s="4" t="str">
        <f t="shared" si="5"/>
        <v>REUSSITE</v>
      </c>
    </row>
    <row r="14" spans="1:18" ht="20.100000000000001" customHeight="1" x14ac:dyDescent="0.3">
      <c r="A14" s="4" t="s">
        <v>18</v>
      </c>
      <c r="B14" s="4" t="s">
        <v>274</v>
      </c>
      <c r="C14" s="4" t="s">
        <v>275</v>
      </c>
      <c r="D14" s="4" t="s">
        <v>176</v>
      </c>
      <c r="E14" s="4">
        <v>3</v>
      </c>
      <c r="F14" s="4" t="s">
        <v>39</v>
      </c>
      <c r="G14" s="4" t="s">
        <v>52</v>
      </c>
      <c r="H14" s="5">
        <v>36393</v>
      </c>
      <c r="I14" s="4" t="str">
        <f t="shared" si="0"/>
        <v>samedi</v>
      </c>
      <c r="J14" s="4" t="str">
        <f t="shared" si="1"/>
        <v>août</v>
      </c>
      <c r="K14" s="4">
        <f t="shared" si="2"/>
        <v>1999</v>
      </c>
      <c r="L14" s="4">
        <f t="shared" ca="1" si="3"/>
        <v>26</v>
      </c>
      <c r="M14" s="4">
        <v>4</v>
      </c>
      <c r="N14" s="4">
        <v>1801</v>
      </c>
      <c r="O14" s="13">
        <v>5.7</v>
      </c>
      <c r="P14" s="13">
        <v>5.5</v>
      </c>
      <c r="Q14" s="13">
        <f t="shared" si="4"/>
        <v>5.6</v>
      </c>
      <c r="R14" s="4" t="str">
        <f t="shared" si="5"/>
        <v>REUSSITE</v>
      </c>
    </row>
    <row r="15" spans="1:18" ht="20.100000000000001" customHeight="1" x14ac:dyDescent="0.3">
      <c r="A15" s="4" t="s">
        <v>12</v>
      </c>
      <c r="B15" s="4" t="s">
        <v>138</v>
      </c>
      <c r="C15" s="4" t="s">
        <v>139</v>
      </c>
      <c r="D15" s="4" t="s">
        <v>140</v>
      </c>
      <c r="E15" s="4">
        <v>14</v>
      </c>
      <c r="F15" s="4" t="s">
        <v>43</v>
      </c>
      <c r="G15" s="4" t="s">
        <v>44</v>
      </c>
      <c r="H15" s="5">
        <v>33943</v>
      </c>
      <c r="I15" s="4" t="str">
        <f t="shared" si="0"/>
        <v>samedi</v>
      </c>
      <c r="J15" s="4" t="str">
        <f t="shared" si="1"/>
        <v>décembre</v>
      </c>
      <c r="K15" s="4">
        <f t="shared" si="2"/>
        <v>1992</v>
      </c>
      <c r="L15" s="4">
        <f t="shared" ca="1" si="3"/>
        <v>33</v>
      </c>
      <c r="M15" s="4">
        <v>1</v>
      </c>
      <c r="N15" s="4">
        <v>770</v>
      </c>
      <c r="O15" s="13">
        <v>5.4</v>
      </c>
      <c r="P15" s="13">
        <v>3.8</v>
      </c>
      <c r="Q15" s="13">
        <f t="shared" si="4"/>
        <v>4.5999999999999996</v>
      </c>
      <c r="R15" s="4" t="str">
        <f t="shared" si="5"/>
        <v>REUSSITE</v>
      </c>
    </row>
    <row r="16" spans="1:18" ht="20.100000000000001" customHeight="1" x14ac:dyDescent="0.3">
      <c r="A16" s="4" t="s">
        <v>18</v>
      </c>
      <c r="B16" s="4" t="s">
        <v>311</v>
      </c>
      <c r="C16" s="4" t="s">
        <v>312</v>
      </c>
      <c r="D16" s="4" t="s">
        <v>313</v>
      </c>
      <c r="E16" s="4">
        <v>31</v>
      </c>
      <c r="F16" s="4" t="s">
        <v>56</v>
      </c>
      <c r="G16" s="4" t="s">
        <v>87</v>
      </c>
      <c r="H16" s="5">
        <v>36465</v>
      </c>
      <c r="I16" s="4" t="str">
        <f t="shared" si="0"/>
        <v>lundi</v>
      </c>
      <c r="J16" s="4" t="str">
        <f t="shared" si="1"/>
        <v>novembre</v>
      </c>
      <c r="K16" s="4">
        <f t="shared" si="2"/>
        <v>1999</v>
      </c>
      <c r="L16" s="4">
        <f t="shared" ca="1" si="3"/>
        <v>26</v>
      </c>
      <c r="M16" s="4">
        <v>2</v>
      </c>
      <c r="N16" s="4">
        <v>1143</v>
      </c>
      <c r="O16" s="13">
        <v>4</v>
      </c>
      <c r="P16" s="13">
        <v>5.6</v>
      </c>
      <c r="Q16" s="13">
        <f t="shared" si="4"/>
        <v>4.8</v>
      </c>
      <c r="R16" s="4" t="str">
        <f t="shared" si="5"/>
        <v>REUSSITE</v>
      </c>
    </row>
    <row r="17" spans="1:18" ht="20.100000000000001" customHeight="1" x14ac:dyDescent="0.3">
      <c r="A17" s="4" t="s">
        <v>18</v>
      </c>
      <c r="B17" s="4" t="s">
        <v>91</v>
      </c>
      <c r="C17" s="4" t="s">
        <v>92</v>
      </c>
      <c r="D17" s="4" t="s">
        <v>93</v>
      </c>
      <c r="E17" s="4">
        <v>39</v>
      </c>
      <c r="F17" s="4" t="s">
        <v>16</v>
      </c>
      <c r="G17" s="4" t="s">
        <v>44</v>
      </c>
      <c r="H17" s="5">
        <v>35444</v>
      </c>
      <c r="I17" s="4" t="str">
        <f t="shared" si="0"/>
        <v>mardi</v>
      </c>
      <c r="J17" s="4" t="str">
        <f t="shared" si="1"/>
        <v>janvier</v>
      </c>
      <c r="K17" s="4">
        <f t="shared" si="2"/>
        <v>1997</v>
      </c>
      <c r="L17" s="4">
        <f t="shared" ca="1" si="3"/>
        <v>28</v>
      </c>
      <c r="M17" s="4">
        <v>2</v>
      </c>
      <c r="N17" s="4">
        <v>1090</v>
      </c>
      <c r="O17" s="13">
        <v>4.5999999999999996</v>
      </c>
      <c r="P17" s="13">
        <v>3.9</v>
      </c>
      <c r="Q17" s="13">
        <f t="shared" si="4"/>
        <v>4.25</v>
      </c>
      <c r="R17" s="4" t="str">
        <f t="shared" si="5"/>
        <v>REUSSITE</v>
      </c>
    </row>
    <row r="18" spans="1:18" ht="20.100000000000001" customHeight="1" x14ac:dyDescent="0.3">
      <c r="A18" s="4" t="s">
        <v>18</v>
      </c>
      <c r="B18" s="4" t="s">
        <v>287</v>
      </c>
      <c r="C18" s="4" t="s">
        <v>288</v>
      </c>
      <c r="D18" s="4" t="s">
        <v>289</v>
      </c>
      <c r="E18" s="4">
        <v>31</v>
      </c>
      <c r="F18" s="4" t="s">
        <v>22</v>
      </c>
      <c r="G18" s="4" t="s">
        <v>17</v>
      </c>
      <c r="H18" s="5">
        <v>37104</v>
      </c>
      <c r="I18" s="4" t="str">
        <f t="shared" si="0"/>
        <v>mercredi</v>
      </c>
      <c r="J18" s="4" t="str">
        <f t="shared" si="1"/>
        <v>août</v>
      </c>
      <c r="K18" s="4">
        <f t="shared" si="2"/>
        <v>2001</v>
      </c>
      <c r="L18" s="4">
        <f t="shared" ca="1" si="3"/>
        <v>24</v>
      </c>
      <c r="M18" s="4">
        <v>3</v>
      </c>
      <c r="N18" s="4">
        <v>1229</v>
      </c>
      <c r="O18" s="13">
        <v>4.5</v>
      </c>
      <c r="P18" s="13">
        <v>5.3</v>
      </c>
      <c r="Q18" s="13">
        <f t="shared" si="4"/>
        <v>4.9000000000000004</v>
      </c>
      <c r="R18" s="4" t="str">
        <f t="shared" si="5"/>
        <v>REUSSITE</v>
      </c>
    </row>
    <row r="19" spans="1:18" ht="20.100000000000001" customHeight="1" x14ac:dyDescent="0.3">
      <c r="A19" s="4" t="s">
        <v>12</v>
      </c>
      <c r="B19" s="4" t="s">
        <v>255</v>
      </c>
      <c r="C19" s="4" t="s">
        <v>256</v>
      </c>
      <c r="D19" s="4" t="s">
        <v>257</v>
      </c>
      <c r="E19" s="4">
        <v>38</v>
      </c>
      <c r="F19" s="4" t="s">
        <v>22</v>
      </c>
      <c r="G19" s="4" t="s">
        <v>125</v>
      </c>
      <c r="H19" s="5">
        <v>36158</v>
      </c>
      <c r="I19" s="4" t="str">
        <f t="shared" si="0"/>
        <v>mardi</v>
      </c>
      <c r="J19" s="4" t="str">
        <f t="shared" si="1"/>
        <v>décembre</v>
      </c>
      <c r="K19" s="4">
        <f t="shared" si="2"/>
        <v>1998</v>
      </c>
      <c r="L19" s="4">
        <f t="shared" ca="1" si="3"/>
        <v>27</v>
      </c>
      <c r="M19" s="4">
        <v>2</v>
      </c>
      <c r="N19" s="4">
        <v>1254</v>
      </c>
      <c r="O19" s="13">
        <v>5</v>
      </c>
      <c r="P19" s="13">
        <v>5.9</v>
      </c>
      <c r="Q19" s="13">
        <f t="shared" si="4"/>
        <v>5.45</v>
      </c>
      <c r="R19" s="4" t="str">
        <f t="shared" si="5"/>
        <v>REUSSITE</v>
      </c>
    </row>
    <row r="20" spans="1:18" ht="20.100000000000001" customHeight="1" x14ac:dyDescent="0.3">
      <c r="A20" s="4" t="s">
        <v>18</v>
      </c>
      <c r="B20" s="4" t="s">
        <v>101</v>
      </c>
      <c r="C20" s="4" t="s">
        <v>102</v>
      </c>
      <c r="D20" s="4" t="s">
        <v>103</v>
      </c>
      <c r="E20" s="4">
        <v>24</v>
      </c>
      <c r="F20" s="4" t="s">
        <v>22</v>
      </c>
      <c r="G20" s="4" t="s">
        <v>52</v>
      </c>
      <c r="H20" s="5">
        <v>36027</v>
      </c>
      <c r="I20" s="4" t="str">
        <f t="shared" si="0"/>
        <v>jeudi</v>
      </c>
      <c r="J20" s="4" t="str">
        <f t="shared" si="1"/>
        <v>août</v>
      </c>
      <c r="K20" s="4">
        <f t="shared" si="2"/>
        <v>1998</v>
      </c>
      <c r="L20" s="4">
        <f t="shared" ca="1" si="3"/>
        <v>27</v>
      </c>
      <c r="M20" s="4">
        <v>2</v>
      </c>
      <c r="N20" s="4">
        <v>1293</v>
      </c>
      <c r="O20" s="13">
        <v>5.0999999999999996</v>
      </c>
      <c r="P20" s="13">
        <v>5.6</v>
      </c>
      <c r="Q20" s="13">
        <f t="shared" si="4"/>
        <v>5.35</v>
      </c>
      <c r="R20" s="4" t="str">
        <f t="shared" si="5"/>
        <v>REUSSITE</v>
      </c>
    </row>
    <row r="21" spans="1:18" ht="20.100000000000001" customHeight="1" x14ac:dyDescent="0.3">
      <c r="A21" s="4" t="s">
        <v>18</v>
      </c>
      <c r="B21" s="4" t="s">
        <v>113</v>
      </c>
      <c r="C21" s="4" t="s">
        <v>114</v>
      </c>
      <c r="D21" s="4" t="s">
        <v>115</v>
      </c>
      <c r="E21" s="4">
        <v>28</v>
      </c>
      <c r="F21" s="4" t="s">
        <v>39</v>
      </c>
      <c r="G21" s="4" t="s">
        <v>100</v>
      </c>
      <c r="H21" s="5">
        <v>34137</v>
      </c>
      <c r="I21" s="4" t="str">
        <f t="shared" si="0"/>
        <v>jeudi</v>
      </c>
      <c r="J21" s="4" t="str">
        <f t="shared" si="1"/>
        <v>juin</v>
      </c>
      <c r="K21" s="4">
        <f t="shared" si="2"/>
        <v>1993</v>
      </c>
      <c r="L21" s="4">
        <f t="shared" ca="1" si="3"/>
        <v>32</v>
      </c>
      <c r="M21" s="4">
        <v>3</v>
      </c>
      <c r="N21" s="4">
        <v>1582</v>
      </c>
      <c r="O21" s="13">
        <v>4.7</v>
      </c>
      <c r="P21" s="13">
        <v>4.5</v>
      </c>
      <c r="Q21" s="13">
        <f t="shared" si="4"/>
        <v>4.5999999999999996</v>
      </c>
      <c r="R21" s="4" t="str">
        <f t="shared" si="5"/>
        <v>REUSSITE</v>
      </c>
    </row>
    <row r="22" spans="1:18" ht="20.100000000000001" customHeight="1" x14ac:dyDescent="0.3">
      <c r="A22" s="4" t="s">
        <v>18</v>
      </c>
      <c r="B22" s="4" t="s">
        <v>317</v>
      </c>
      <c r="C22" s="4" t="s">
        <v>318</v>
      </c>
      <c r="D22" s="4" t="s">
        <v>319</v>
      </c>
      <c r="E22" s="4">
        <v>23</v>
      </c>
      <c r="F22" s="4" t="s">
        <v>67</v>
      </c>
      <c r="G22" s="4" t="s">
        <v>210</v>
      </c>
      <c r="H22" s="5">
        <v>35812</v>
      </c>
      <c r="I22" s="4" t="str">
        <f t="shared" si="0"/>
        <v>samedi</v>
      </c>
      <c r="J22" s="4" t="str">
        <f t="shared" si="1"/>
        <v>janvier</v>
      </c>
      <c r="K22" s="4">
        <f t="shared" si="2"/>
        <v>1998</v>
      </c>
      <c r="L22" s="4">
        <f t="shared" ca="1" si="3"/>
        <v>27</v>
      </c>
      <c r="M22" s="4">
        <v>3</v>
      </c>
      <c r="N22" s="4">
        <v>1354</v>
      </c>
      <c r="O22" s="13">
        <v>3.5</v>
      </c>
      <c r="P22" s="13">
        <v>5.3</v>
      </c>
      <c r="Q22" s="13">
        <f t="shared" si="4"/>
        <v>4.4000000000000004</v>
      </c>
      <c r="R22" s="4" t="str">
        <f t="shared" si="5"/>
        <v>REUSSITE</v>
      </c>
    </row>
    <row r="23" spans="1:18" ht="20.100000000000001" customHeight="1" x14ac:dyDescent="0.3">
      <c r="A23" s="4" t="s">
        <v>18</v>
      </c>
      <c r="B23" s="4" t="s">
        <v>268</v>
      </c>
      <c r="C23" s="4" t="s">
        <v>269</v>
      </c>
      <c r="D23" s="4" t="s">
        <v>270</v>
      </c>
      <c r="E23" s="4">
        <v>42</v>
      </c>
      <c r="F23" s="4" t="s">
        <v>39</v>
      </c>
      <c r="G23" s="4" t="s">
        <v>48</v>
      </c>
      <c r="H23" s="5">
        <v>36380</v>
      </c>
      <c r="I23" s="4" t="str">
        <f t="shared" si="0"/>
        <v>dimanche</v>
      </c>
      <c r="J23" s="4" t="str">
        <f t="shared" si="1"/>
        <v>août</v>
      </c>
      <c r="K23" s="4">
        <f t="shared" si="2"/>
        <v>1999</v>
      </c>
      <c r="L23" s="4">
        <f t="shared" ca="1" si="3"/>
        <v>26</v>
      </c>
      <c r="M23" s="4">
        <v>2</v>
      </c>
      <c r="N23" s="4">
        <v>1075</v>
      </c>
      <c r="O23" s="13">
        <v>5.5</v>
      </c>
      <c r="P23" s="13">
        <v>5.3</v>
      </c>
      <c r="Q23" s="13">
        <f t="shared" si="4"/>
        <v>5.4</v>
      </c>
      <c r="R23" s="4" t="str">
        <f t="shared" si="5"/>
        <v>REUSSITE</v>
      </c>
    </row>
    <row r="24" spans="1:18" ht="20.100000000000001" customHeight="1" x14ac:dyDescent="0.3">
      <c r="A24" s="4" t="s">
        <v>18</v>
      </c>
      <c r="B24" s="4" t="s">
        <v>126</v>
      </c>
      <c r="C24" s="4" t="s">
        <v>127</v>
      </c>
      <c r="D24" s="4" t="s">
        <v>128</v>
      </c>
      <c r="E24" s="4">
        <v>14</v>
      </c>
      <c r="F24" s="4" t="s">
        <v>22</v>
      </c>
      <c r="G24" s="4" t="s">
        <v>125</v>
      </c>
      <c r="H24" s="5">
        <v>36848</v>
      </c>
      <c r="I24" s="4" t="str">
        <f t="shared" si="0"/>
        <v>samedi</v>
      </c>
      <c r="J24" s="4" t="str">
        <f t="shared" si="1"/>
        <v>novembre</v>
      </c>
      <c r="K24" s="4">
        <f t="shared" si="2"/>
        <v>2000</v>
      </c>
      <c r="L24" s="4">
        <f t="shared" ca="1" si="3"/>
        <v>25</v>
      </c>
      <c r="M24" s="4">
        <v>4</v>
      </c>
      <c r="N24" s="4">
        <v>1527</v>
      </c>
      <c r="O24" s="13">
        <v>4.4000000000000004</v>
      </c>
      <c r="P24" s="13">
        <v>4.5</v>
      </c>
      <c r="Q24" s="13">
        <f t="shared" si="4"/>
        <v>4.45</v>
      </c>
      <c r="R24" s="4" t="str">
        <f t="shared" si="5"/>
        <v>REUSSITE</v>
      </c>
    </row>
    <row r="25" spans="1:18" ht="20.100000000000001" customHeight="1" x14ac:dyDescent="0.3">
      <c r="A25" s="4" t="s">
        <v>12</v>
      </c>
      <c r="B25" s="4" t="s">
        <v>156</v>
      </c>
      <c r="C25" s="4" t="s">
        <v>157</v>
      </c>
      <c r="D25" s="4" t="s">
        <v>158</v>
      </c>
      <c r="E25" s="4">
        <v>45</v>
      </c>
      <c r="F25" s="4" t="s">
        <v>56</v>
      </c>
      <c r="G25" s="4" t="s">
        <v>87</v>
      </c>
      <c r="H25" s="5">
        <v>33419</v>
      </c>
      <c r="I25" s="4" t="str">
        <f t="shared" si="0"/>
        <v>dimanche</v>
      </c>
      <c r="J25" s="4" t="str">
        <f t="shared" si="1"/>
        <v>juin</v>
      </c>
      <c r="K25" s="4">
        <f t="shared" si="2"/>
        <v>1991</v>
      </c>
      <c r="L25" s="4">
        <f t="shared" ca="1" si="3"/>
        <v>34</v>
      </c>
      <c r="M25" s="4">
        <v>3</v>
      </c>
      <c r="N25" s="4">
        <v>1542</v>
      </c>
      <c r="O25" s="13">
        <v>2.9</v>
      </c>
      <c r="P25" s="13">
        <v>5.0999999999999996</v>
      </c>
      <c r="Q25" s="13">
        <f t="shared" si="4"/>
        <v>4</v>
      </c>
      <c r="R25" s="4" t="str">
        <f t="shared" si="5"/>
        <v>REUSSITE</v>
      </c>
    </row>
    <row r="26" spans="1:18" ht="20.100000000000001" customHeight="1" x14ac:dyDescent="0.3">
      <c r="A26" s="4" t="s">
        <v>12</v>
      </c>
      <c r="B26" s="4" t="s">
        <v>71</v>
      </c>
      <c r="C26" s="4" t="s">
        <v>72</v>
      </c>
      <c r="D26" s="4" t="s">
        <v>73</v>
      </c>
      <c r="E26" s="4">
        <v>31</v>
      </c>
      <c r="F26" s="4" t="s">
        <v>67</v>
      </c>
      <c r="G26" s="4" t="s">
        <v>74</v>
      </c>
      <c r="H26" s="5">
        <v>33469</v>
      </c>
      <c r="I26" s="4" t="str">
        <f t="shared" si="0"/>
        <v>lundi</v>
      </c>
      <c r="J26" s="4" t="str">
        <f t="shared" si="1"/>
        <v>août</v>
      </c>
      <c r="K26" s="4">
        <f t="shared" si="2"/>
        <v>1991</v>
      </c>
      <c r="L26" s="4">
        <f t="shared" ca="1" si="3"/>
        <v>34</v>
      </c>
      <c r="M26" s="4">
        <v>2</v>
      </c>
      <c r="N26" s="4">
        <v>1223</v>
      </c>
      <c r="O26" s="13">
        <v>3.1</v>
      </c>
      <c r="P26" s="13">
        <v>4.8</v>
      </c>
      <c r="Q26" s="13">
        <f t="shared" si="4"/>
        <v>3.95</v>
      </c>
      <c r="R26" s="4" t="str">
        <f t="shared" si="5"/>
        <v>ECHEC</v>
      </c>
    </row>
    <row r="27" spans="1:18" ht="20.100000000000001" customHeight="1" x14ac:dyDescent="0.3">
      <c r="A27" s="4" t="s">
        <v>12</v>
      </c>
      <c r="B27" s="4" t="s">
        <v>216</v>
      </c>
      <c r="C27" s="4" t="s">
        <v>217</v>
      </c>
      <c r="D27" s="4" t="s">
        <v>218</v>
      </c>
      <c r="E27" s="4">
        <v>12</v>
      </c>
      <c r="F27" s="4" t="s">
        <v>43</v>
      </c>
      <c r="G27" s="4" t="s">
        <v>32</v>
      </c>
      <c r="H27" s="5">
        <v>34818</v>
      </c>
      <c r="I27" s="4" t="str">
        <f t="shared" si="0"/>
        <v>samedi</v>
      </c>
      <c r="J27" s="4" t="str">
        <f t="shared" si="1"/>
        <v>avril</v>
      </c>
      <c r="K27" s="4">
        <f t="shared" si="2"/>
        <v>1995</v>
      </c>
      <c r="L27" s="4">
        <f t="shared" ca="1" si="3"/>
        <v>30</v>
      </c>
      <c r="M27" s="4">
        <v>3</v>
      </c>
      <c r="N27" s="4">
        <v>1514</v>
      </c>
      <c r="O27" s="13">
        <v>3</v>
      </c>
      <c r="P27" s="13">
        <v>3.9</v>
      </c>
      <c r="Q27" s="13">
        <f t="shared" si="4"/>
        <v>3.45</v>
      </c>
      <c r="R27" s="4" t="str">
        <f t="shared" si="5"/>
        <v>ECHEC</v>
      </c>
    </row>
    <row r="28" spans="1:18" ht="20.100000000000001" customHeight="1" x14ac:dyDescent="0.3">
      <c r="A28" s="4" t="s">
        <v>12</v>
      </c>
      <c r="B28" s="4" t="s">
        <v>305</v>
      </c>
      <c r="C28" s="4" t="s">
        <v>306</v>
      </c>
      <c r="D28" s="4" t="s">
        <v>307</v>
      </c>
      <c r="E28" s="4">
        <v>47</v>
      </c>
      <c r="F28" s="4" t="s">
        <v>16</v>
      </c>
      <c r="G28" s="4" t="s">
        <v>210</v>
      </c>
      <c r="H28" s="5">
        <v>36130</v>
      </c>
      <c r="I28" s="4" t="str">
        <f t="shared" si="0"/>
        <v>mardi</v>
      </c>
      <c r="J28" s="4" t="str">
        <f t="shared" si="1"/>
        <v>décembre</v>
      </c>
      <c r="K28" s="4">
        <f t="shared" si="2"/>
        <v>1998</v>
      </c>
      <c r="L28" s="4">
        <f t="shared" ca="1" si="3"/>
        <v>27</v>
      </c>
      <c r="M28" s="4">
        <v>1</v>
      </c>
      <c r="N28" s="4">
        <v>703</v>
      </c>
      <c r="O28" s="13">
        <v>4</v>
      </c>
      <c r="P28" s="13">
        <v>4.9000000000000004</v>
      </c>
      <c r="Q28" s="13">
        <f t="shared" si="4"/>
        <v>4.45</v>
      </c>
      <c r="R28" s="4" t="str">
        <f t="shared" si="5"/>
        <v>REUSSITE</v>
      </c>
    </row>
    <row r="29" spans="1:18" ht="20.100000000000001" customHeight="1" x14ac:dyDescent="0.3">
      <c r="A29" s="4" t="s">
        <v>12</v>
      </c>
      <c r="B29" s="4" t="s">
        <v>81</v>
      </c>
      <c r="C29" s="4" t="s">
        <v>82</v>
      </c>
      <c r="D29" s="4" t="s">
        <v>83</v>
      </c>
      <c r="E29" s="4">
        <v>5</v>
      </c>
      <c r="F29" s="4" t="s">
        <v>39</v>
      </c>
      <c r="G29" s="4" t="s">
        <v>32</v>
      </c>
      <c r="H29" s="5">
        <v>37232</v>
      </c>
      <c r="I29" s="4" t="str">
        <f t="shared" si="0"/>
        <v>vendredi</v>
      </c>
      <c r="J29" s="4" t="str">
        <f t="shared" si="1"/>
        <v>décembre</v>
      </c>
      <c r="K29" s="4">
        <f t="shared" si="2"/>
        <v>2001</v>
      </c>
      <c r="L29" s="4">
        <f t="shared" ca="1" si="3"/>
        <v>24</v>
      </c>
      <c r="M29" s="4">
        <v>4</v>
      </c>
      <c r="N29" s="4">
        <v>1526</v>
      </c>
      <c r="O29" s="13">
        <v>3.3</v>
      </c>
      <c r="P29" s="13">
        <v>5.4</v>
      </c>
      <c r="Q29" s="13">
        <f t="shared" si="4"/>
        <v>4.3499999999999996</v>
      </c>
      <c r="R29" s="4" t="str">
        <f t="shared" si="5"/>
        <v>REUSSITE</v>
      </c>
    </row>
    <row r="30" spans="1:18" ht="20.100000000000001" customHeight="1" x14ac:dyDescent="0.3">
      <c r="A30" s="4" t="s">
        <v>18</v>
      </c>
      <c r="B30" s="4" t="s">
        <v>204</v>
      </c>
      <c r="C30" s="4" t="s">
        <v>205</v>
      </c>
      <c r="D30" s="4" t="s">
        <v>206</v>
      </c>
      <c r="E30" s="4">
        <v>33</v>
      </c>
      <c r="F30" s="4" t="s">
        <v>22</v>
      </c>
      <c r="G30" s="4" t="s">
        <v>52</v>
      </c>
      <c r="H30" s="5">
        <v>37413</v>
      </c>
      <c r="I30" s="4" t="str">
        <f t="shared" si="0"/>
        <v>jeudi</v>
      </c>
      <c r="J30" s="4" t="str">
        <f t="shared" si="1"/>
        <v>juin</v>
      </c>
      <c r="K30" s="4">
        <f t="shared" si="2"/>
        <v>2002</v>
      </c>
      <c r="L30" s="4">
        <f t="shared" ca="1" si="3"/>
        <v>23</v>
      </c>
      <c r="M30" s="4">
        <v>1</v>
      </c>
      <c r="N30" s="4">
        <v>789</v>
      </c>
      <c r="O30" s="13">
        <v>4.8</v>
      </c>
      <c r="P30" s="13">
        <v>4</v>
      </c>
      <c r="Q30" s="13">
        <f t="shared" si="4"/>
        <v>4.4000000000000004</v>
      </c>
      <c r="R30" s="4" t="str">
        <f t="shared" si="5"/>
        <v>REUSSITE</v>
      </c>
    </row>
    <row r="31" spans="1:18" ht="20.100000000000001" customHeight="1" x14ac:dyDescent="0.3">
      <c r="A31" s="4" t="s">
        <v>18</v>
      </c>
      <c r="B31" s="4" t="s">
        <v>84</v>
      </c>
      <c r="C31" s="4" t="s">
        <v>85</v>
      </c>
      <c r="D31" s="4" t="s">
        <v>86</v>
      </c>
      <c r="E31" s="4">
        <v>31</v>
      </c>
      <c r="F31" s="4" t="s">
        <v>56</v>
      </c>
      <c r="G31" s="4" t="s">
        <v>87</v>
      </c>
      <c r="H31" s="5">
        <v>33859</v>
      </c>
      <c r="I31" s="4" t="str">
        <f t="shared" si="0"/>
        <v>samedi</v>
      </c>
      <c r="J31" s="4" t="str">
        <f t="shared" si="1"/>
        <v>septembre</v>
      </c>
      <c r="K31" s="4">
        <f t="shared" si="2"/>
        <v>1992</v>
      </c>
      <c r="L31" s="4">
        <f t="shared" ca="1" si="3"/>
        <v>33</v>
      </c>
      <c r="M31" s="4">
        <v>3</v>
      </c>
      <c r="N31" s="4">
        <v>1477</v>
      </c>
      <c r="O31" s="13">
        <v>3.5</v>
      </c>
      <c r="P31" s="13">
        <v>4.3</v>
      </c>
      <c r="Q31" s="13">
        <f t="shared" si="4"/>
        <v>3.9</v>
      </c>
      <c r="R31" s="4" t="str">
        <f t="shared" si="5"/>
        <v>ECHEC</v>
      </c>
    </row>
    <row r="32" spans="1:18" ht="20.100000000000001" customHeight="1" x14ac:dyDescent="0.3">
      <c r="A32" s="4" t="s">
        <v>18</v>
      </c>
      <c r="B32" s="4" t="s">
        <v>60</v>
      </c>
      <c r="C32" s="4" t="s">
        <v>61</v>
      </c>
      <c r="D32" s="4" t="s">
        <v>62</v>
      </c>
      <c r="E32" s="4">
        <v>2</v>
      </c>
      <c r="F32" s="4" t="s">
        <v>63</v>
      </c>
      <c r="G32" s="4" t="s">
        <v>28</v>
      </c>
      <c r="H32" s="5">
        <v>37123</v>
      </c>
      <c r="I32" s="4" t="str">
        <f t="shared" si="0"/>
        <v>lundi</v>
      </c>
      <c r="J32" s="4" t="str">
        <f t="shared" si="1"/>
        <v>août</v>
      </c>
      <c r="K32" s="4">
        <f t="shared" si="2"/>
        <v>2001</v>
      </c>
      <c r="L32" s="4">
        <f t="shared" ca="1" si="3"/>
        <v>24</v>
      </c>
      <c r="M32" s="4">
        <v>1</v>
      </c>
      <c r="N32" s="4">
        <v>709</v>
      </c>
      <c r="O32" s="13">
        <v>3.7</v>
      </c>
      <c r="P32" s="13">
        <v>5.3</v>
      </c>
      <c r="Q32" s="13">
        <f t="shared" si="4"/>
        <v>4.5</v>
      </c>
      <c r="R32" s="4" t="str">
        <f t="shared" si="5"/>
        <v>REUSSITE</v>
      </c>
    </row>
    <row r="33" spans="1:18" ht="20.100000000000001" customHeight="1" x14ac:dyDescent="0.3">
      <c r="A33" s="4" t="s">
        <v>18</v>
      </c>
      <c r="B33" s="4" t="s">
        <v>246</v>
      </c>
      <c r="C33" s="4" t="s">
        <v>247</v>
      </c>
      <c r="D33" s="4" t="s">
        <v>248</v>
      </c>
      <c r="E33" s="4">
        <v>41</v>
      </c>
      <c r="F33" s="4" t="s">
        <v>63</v>
      </c>
      <c r="G33" s="4" t="s">
        <v>17</v>
      </c>
      <c r="H33" s="5">
        <v>36512</v>
      </c>
      <c r="I33" s="4" t="str">
        <f t="shared" si="0"/>
        <v>samedi</v>
      </c>
      <c r="J33" s="4" t="str">
        <f t="shared" si="1"/>
        <v>décembre</v>
      </c>
      <c r="K33" s="4">
        <f t="shared" si="2"/>
        <v>1999</v>
      </c>
      <c r="L33" s="4">
        <f t="shared" ca="1" si="3"/>
        <v>26</v>
      </c>
      <c r="M33" s="4">
        <v>1</v>
      </c>
      <c r="N33" s="4">
        <v>744</v>
      </c>
      <c r="O33" s="13">
        <v>5.2</v>
      </c>
      <c r="P33" s="13">
        <v>5.9</v>
      </c>
      <c r="Q33" s="13">
        <f t="shared" si="4"/>
        <v>5.5500000000000007</v>
      </c>
      <c r="R33" s="4" t="str">
        <f t="shared" si="5"/>
        <v>REUSSITE</v>
      </c>
    </row>
    <row r="34" spans="1:18" ht="20.100000000000001" customHeight="1" x14ac:dyDescent="0.3">
      <c r="A34" s="4" t="s">
        <v>12</v>
      </c>
      <c r="B34" s="4" t="s">
        <v>110</v>
      </c>
      <c r="C34" s="4" t="s">
        <v>111</v>
      </c>
      <c r="D34" s="4" t="s">
        <v>112</v>
      </c>
      <c r="E34" s="4">
        <v>42</v>
      </c>
      <c r="F34" s="4" t="s">
        <v>22</v>
      </c>
      <c r="G34" s="4" t="s">
        <v>23</v>
      </c>
      <c r="H34" s="5">
        <v>36408</v>
      </c>
      <c r="I34" s="4" t="str">
        <f t="shared" ref="I34:I65" si="6">TEXT(H34,"jjjj")</f>
        <v>dimanche</v>
      </c>
      <c r="J34" s="4" t="str">
        <f t="shared" ref="J34:J65" si="7">TEXT(H34,"mmmm")</f>
        <v>septembre</v>
      </c>
      <c r="K34" s="4">
        <f t="shared" ref="K34:K65" si="8">YEAR(H34)</f>
        <v>1999</v>
      </c>
      <c r="L34" s="4">
        <f t="shared" ref="L34:L65" ca="1" si="9">YEAR(TODAY())-K34</f>
        <v>26</v>
      </c>
      <c r="M34" s="4">
        <v>1</v>
      </c>
      <c r="N34" s="4">
        <v>711</v>
      </c>
      <c r="O34" s="13">
        <v>5.5</v>
      </c>
      <c r="P34" s="13">
        <v>4.5999999999999996</v>
      </c>
      <c r="Q34" s="13">
        <f t="shared" ref="Q34:Q65" si="10">AVERAGE(O34,P34)</f>
        <v>5.05</v>
      </c>
      <c r="R34" s="4" t="str">
        <f t="shared" ref="R34:R65" si="11">IF(Q34&lt;4,"ECHEC","REUSSITE")</f>
        <v>REUSSITE</v>
      </c>
    </row>
    <row r="35" spans="1:18" ht="20.100000000000001" customHeight="1" x14ac:dyDescent="0.3">
      <c r="A35" s="4" t="s">
        <v>12</v>
      </c>
      <c r="B35" s="4" t="s">
        <v>228</v>
      </c>
      <c r="C35" s="4" t="s">
        <v>229</v>
      </c>
      <c r="D35" s="4" t="s">
        <v>230</v>
      </c>
      <c r="E35" s="4">
        <v>16</v>
      </c>
      <c r="F35" s="4" t="s">
        <v>22</v>
      </c>
      <c r="G35" s="4" t="s">
        <v>28</v>
      </c>
      <c r="H35" s="5">
        <v>35098</v>
      </c>
      <c r="I35" s="4" t="str">
        <f t="shared" si="6"/>
        <v>samedi</v>
      </c>
      <c r="J35" s="4" t="str">
        <f t="shared" si="7"/>
        <v>février</v>
      </c>
      <c r="K35" s="4">
        <f t="shared" si="8"/>
        <v>1996</v>
      </c>
      <c r="L35" s="4">
        <f t="shared" ca="1" si="9"/>
        <v>29</v>
      </c>
      <c r="M35" s="4">
        <v>1</v>
      </c>
      <c r="N35" s="4">
        <v>790</v>
      </c>
      <c r="O35" s="13">
        <v>5.4</v>
      </c>
      <c r="P35" s="13">
        <v>4.8</v>
      </c>
      <c r="Q35" s="13">
        <f t="shared" si="10"/>
        <v>5.0999999999999996</v>
      </c>
      <c r="R35" s="4" t="str">
        <f t="shared" si="11"/>
        <v>REUSSITE</v>
      </c>
    </row>
    <row r="36" spans="1:18" ht="20.100000000000001" customHeight="1" x14ac:dyDescent="0.3">
      <c r="A36" s="4" t="s">
        <v>12</v>
      </c>
      <c r="B36" s="4" t="s">
        <v>13</v>
      </c>
      <c r="C36" s="4" t="s">
        <v>14</v>
      </c>
      <c r="D36" s="4" t="s">
        <v>15</v>
      </c>
      <c r="E36" s="4">
        <v>11</v>
      </c>
      <c r="F36" s="4" t="s">
        <v>16</v>
      </c>
      <c r="G36" s="4" t="s">
        <v>17</v>
      </c>
      <c r="H36" s="5">
        <v>34700</v>
      </c>
      <c r="I36" s="4" t="str">
        <f t="shared" si="6"/>
        <v>dimanche</v>
      </c>
      <c r="J36" s="4" t="str">
        <f t="shared" si="7"/>
        <v>janvier</v>
      </c>
      <c r="K36" s="4">
        <f t="shared" si="8"/>
        <v>1995</v>
      </c>
      <c r="L36" s="4">
        <f t="shared" ca="1" si="9"/>
        <v>30</v>
      </c>
      <c r="M36" s="4">
        <v>1</v>
      </c>
      <c r="N36" s="4">
        <v>734</v>
      </c>
      <c r="O36" s="13">
        <v>3.7</v>
      </c>
      <c r="P36" s="13">
        <v>3.5</v>
      </c>
      <c r="Q36" s="13">
        <f t="shared" si="10"/>
        <v>3.6</v>
      </c>
      <c r="R36" s="4" t="str">
        <f t="shared" si="11"/>
        <v>ECHEC</v>
      </c>
    </row>
    <row r="37" spans="1:18" ht="20.100000000000001" customHeight="1" x14ac:dyDescent="0.3">
      <c r="A37" s="4" t="s">
        <v>12</v>
      </c>
      <c r="B37" s="4" t="s">
        <v>68</v>
      </c>
      <c r="C37" s="4" t="s">
        <v>69</v>
      </c>
      <c r="D37" s="4" t="s">
        <v>70</v>
      </c>
      <c r="E37" s="4">
        <v>4</v>
      </c>
      <c r="F37" s="4" t="s">
        <v>56</v>
      </c>
      <c r="G37" s="4" t="s">
        <v>32</v>
      </c>
      <c r="H37" s="5">
        <v>36012</v>
      </c>
      <c r="I37" s="4" t="str">
        <f t="shared" si="6"/>
        <v>mercredi</v>
      </c>
      <c r="J37" s="4" t="str">
        <f t="shared" si="7"/>
        <v>août</v>
      </c>
      <c r="K37" s="4">
        <f t="shared" si="8"/>
        <v>1998</v>
      </c>
      <c r="L37" s="4">
        <f t="shared" ca="1" si="9"/>
        <v>27</v>
      </c>
      <c r="M37" s="4">
        <v>3</v>
      </c>
      <c r="N37" s="4">
        <v>1427</v>
      </c>
      <c r="O37" s="13">
        <v>5</v>
      </c>
      <c r="P37" s="13">
        <v>3.8</v>
      </c>
      <c r="Q37" s="13">
        <f t="shared" si="10"/>
        <v>4.4000000000000004</v>
      </c>
      <c r="R37" s="4" t="str">
        <f t="shared" si="11"/>
        <v>REUSSITE</v>
      </c>
    </row>
    <row r="38" spans="1:18" ht="20.100000000000001" customHeight="1" x14ac:dyDescent="0.3">
      <c r="A38" s="4" t="s">
        <v>18</v>
      </c>
      <c r="B38" s="4" t="s">
        <v>222</v>
      </c>
      <c r="C38" s="4" t="s">
        <v>223</v>
      </c>
      <c r="D38" s="4" t="s">
        <v>224</v>
      </c>
      <c r="E38" s="4">
        <v>19</v>
      </c>
      <c r="F38" s="4" t="s">
        <v>22</v>
      </c>
      <c r="G38" s="4" t="s">
        <v>48</v>
      </c>
      <c r="H38" s="5">
        <v>36747</v>
      </c>
      <c r="I38" s="4" t="str">
        <f t="shared" si="6"/>
        <v>mercredi</v>
      </c>
      <c r="J38" s="4" t="str">
        <f t="shared" si="7"/>
        <v>août</v>
      </c>
      <c r="K38" s="4">
        <f t="shared" si="8"/>
        <v>2000</v>
      </c>
      <c r="L38" s="4">
        <f t="shared" ca="1" si="9"/>
        <v>25</v>
      </c>
      <c r="M38" s="4">
        <v>4</v>
      </c>
      <c r="N38" s="4">
        <v>1638</v>
      </c>
      <c r="O38" s="13">
        <v>5.2</v>
      </c>
      <c r="P38" s="13">
        <v>4.8</v>
      </c>
      <c r="Q38" s="13">
        <f t="shared" si="10"/>
        <v>5</v>
      </c>
      <c r="R38" s="4" t="str">
        <f t="shared" si="11"/>
        <v>REUSSITE</v>
      </c>
    </row>
    <row r="39" spans="1:18" ht="20.100000000000001" customHeight="1" x14ac:dyDescent="0.3">
      <c r="A39" s="4" t="s">
        <v>12</v>
      </c>
      <c r="B39" s="4" t="s">
        <v>45</v>
      </c>
      <c r="C39" s="4" t="s">
        <v>46</v>
      </c>
      <c r="D39" s="4" t="s">
        <v>47</v>
      </c>
      <c r="E39" s="4">
        <v>5</v>
      </c>
      <c r="F39" s="4" t="s">
        <v>16</v>
      </c>
      <c r="G39" s="4" t="s">
        <v>48</v>
      </c>
      <c r="H39" s="5">
        <v>34219</v>
      </c>
      <c r="I39" s="4" t="str">
        <f t="shared" si="6"/>
        <v>mardi</v>
      </c>
      <c r="J39" s="4" t="str">
        <f t="shared" si="7"/>
        <v>septembre</v>
      </c>
      <c r="K39" s="4">
        <f t="shared" si="8"/>
        <v>1993</v>
      </c>
      <c r="L39" s="4">
        <f t="shared" ca="1" si="9"/>
        <v>32</v>
      </c>
      <c r="M39" s="4">
        <v>2</v>
      </c>
      <c r="N39" s="4">
        <v>1255</v>
      </c>
      <c r="O39" s="13">
        <v>3.7</v>
      </c>
      <c r="P39" s="13">
        <v>4.5999999999999996</v>
      </c>
      <c r="Q39" s="13">
        <f t="shared" si="10"/>
        <v>4.1500000000000004</v>
      </c>
      <c r="R39" s="4" t="str">
        <f t="shared" si="11"/>
        <v>REUSSITE</v>
      </c>
    </row>
    <row r="40" spans="1:18" ht="20.100000000000001" customHeight="1" x14ac:dyDescent="0.3">
      <c r="A40" s="4" t="s">
        <v>18</v>
      </c>
      <c r="B40" s="4" t="s">
        <v>165</v>
      </c>
      <c r="C40" s="4" t="s">
        <v>166</v>
      </c>
      <c r="D40" s="4" t="s">
        <v>167</v>
      </c>
      <c r="E40" s="4">
        <v>17</v>
      </c>
      <c r="F40" s="4" t="s">
        <v>56</v>
      </c>
      <c r="G40" s="4" t="s">
        <v>125</v>
      </c>
      <c r="H40" s="5">
        <v>34296</v>
      </c>
      <c r="I40" s="4" t="str">
        <f t="shared" si="6"/>
        <v>mardi</v>
      </c>
      <c r="J40" s="4" t="str">
        <f t="shared" si="7"/>
        <v>novembre</v>
      </c>
      <c r="K40" s="4">
        <f t="shared" si="8"/>
        <v>1993</v>
      </c>
      <c r="L40" s="4">
        <f t="shared" ca="1" si="9"/>
        <v>32</v>
      </c>
      <c r="M40" s="4">
        <v>3</v>
      </c>
      <c r="N40" s="4">
        <v>1255</v>
      </c>
      <c r="O40" s="13">
        <v>2.5</v>
      </c>
      <c r="P40" s="13">
        <v>4.2</v>
      </c>
      <c r="Q40" s="13">
        <f t="shared" si="10"/>
        <v>3.35</v>
      </c>
      <c r="R40" s="4" t="str">
        <f t="shared" si="11"/>
        <v>ECHEC</v>
      </c>
    </row>
    <row r="41" spans="1:18" ht="20.100000000000001" customHeight="1" x14ac:dyDescent="0.3">
      <c r="A41" s="4" t="s">
        <v>12</v>
      </c>
      <c r="B41" s="4" t="s">
        <v>29</v>
      </c>
      <c r="C41" s="4" t="s">
        <v>30</v>
      </c>
      <c r="D41" s="4" t="s">
        <v>31</v>
      </c>
      <c r="E41" s="4">
        <v>25</v>
      </c>
      <c r="F41" s="4" t="s">
        <v>16</v>
      </c>
      <c r="G41" s="4" t="s">
        <v>32</v>
      </c>
      <c r="H41" s="5">
        <v>37159</v>
      </c>
      <c r="I41" s="4" t="str">
        <f t="shared" si="6"/>
        <v>mardi</v>
      </c>
      <c r="J41" s="4" t="str">
        <f t="shared" si="7"/>
        <v>septembre</v>
      </c>
      <c r="K41" s="4">
        <f t="shared" si="8"/>
        <v>2001</v>
      </c>
      <c r="L41" s="4">
        <f t="shared" ca="1" si="9"/>
        <v>24</v>
      </c>
      <c r="M41" s="4">
        <v>1</v>
      </c>
      <c r="N41" s="4">
        <v>769</v>
      </c>
      <c r="O41" s="13">
        <v>3.3</v>
      </c>
      <c r="P41" s="13">
        <v>3.8</v>
      </c>
      <c r="Q41" s="13">
        <f t="shared" si="10"/>
        <v>3.55</v>
      </c>
      <c r="R41" s="4" t="str">
        <f t="shared" si="11"/>
        <v>ECHEC</v>
      </c>
    </row>
    <row r="42" spans="1:18" ht="20.100000000000001" customHeight="1" x14ac:dyDescent="0.3">
      <c r="A42" s="4" t="s">
        <v>18</v>
      </c>
      <c r="B42" s="4" t="s">
        <v>107</v>
      </c>
      <c r="C42" s="4" t="s">
        <v>108</v>
      </c>
      <c r="D42" s="4" t="s">
        <v>109</v>
      </c>
      <c r="E42" s="4">
        <v>14</v>
      </c>
      <c r="F42" s="4" t="s">
        <v>27</v>
      </c>
      <c r="G42" s="4" t="s">
        <v>23</v>
      </c>
      <c r="H42" s="5">
        <v>36250</v>
      </c>
      <c r="I42" s="4" t="str">
        <f t="shared" si="6"/>
        <v>mercredi</v>
      </c>
      <c r="J42" s="4" t="str">
        <f t="shared" si="7"/>
        <v>mars</v>
      </c>
      <c r="K42" s="4">
        <f t="shared" si="8"/>
        <v>1999</v>
      </c>
      <c r="L42" s="4">
        <f t="shared" ca="1" si="9"/>
        <v>26</v>
      </c>
      <c r="M42" s="4">
        <v>3</v>
      </c>
      <c r="N42" s="4">
        <v>1200</v>
      </c>
      <c r="O42" s="13">
        <v>5.2</v>
      </c>
      <c r="P42" s="13">
        <v>5.3</v>
      </c>
      <c r="Q42" s="13">
        <f t="shared" si="10"/>
        <v>5.25</v>
      </c>
      <c r="R42" s="4" t="str">
        <f t="shared" si="11"/>
        <v>REUSSITE</v>
      </c>
    </row>
    <row r="43" spans="1:18" ht="20.100000000000001" customHeight="1" x14ac:dyDescent="0.3">
      <c r="A43" s="4" t="s">
        <v>18</v>
      </c>
      <c r="B43" s="4" t="s">
        <v>104</v>
      </c>
      <c r="C43" s="4" t="s">
        <v>105</v>
      </c>
      <c r="D43" s="4" t="s">
        <v>106</v>
      </c>
      <c r="E43" s="4">
        <v>46</v>
      </c>
      <c r="F43" s="4" t="s">
        <v>39</v>
      </c>
      <c r="G43" s="4" t="s">
        <v>17</v>
      </c>
      <c r="H43" s="5">
        <v>34430</v>
      </c>
      <c r="I43" s="4" t="str">
        <f t="shared" si="6"/>
        <v>mercredi</v>
      </c>
      <c r="J43" s="4" t="str">
        <f t="shared" si="7"/>
        <v>avril</v>
      </c>
      <c r="K43" s="4">
        <f t="shared" si="8"/>
        <v>1994</v>
      </c>
      <c r="L43" s="4">
        <f t="shared" ca="1" si="9"/>
        <v>31</v>
      </c>
      <c r="M43" s="4">
        <v>3</v>
      </c>
      <c r="N43" s="4">
        <v>1456</v>
      </c>
      <c r="O43" s="13">
        <v>3.3</v>
      </c>
      <c r="P43" s="13">
        <v>4.4000000000000004</v>
      </c>
      <c r="Q43" s="13">
        <f t="shared" si="10"/>
        <v>3.85</v>
      </c>
      <c r="R43" s="4" t="str">
        <f t="shared" si="11"/>
        <v>ECHEC</v>
      </c>
    </row>
    <row r="44" spans="1:18" ht="20.100000000000001" customHeight="1" x14ac:dyDescent="0.3">
      <c r="A44" s="4" t="s">
        <v>18</v>
      </c>
      <c r="B44" s="4" t="s">
        <v>282</v>
      </c>
      <c r="C44" s="4" t="s">
        <v>272</v>
      </c>
      <c r="D44" s="4" t="s">
        <v>283</v>
      </c>
      <c r="E44" s="4">
        <v>4</v>
      </c>
      <c r="F44" s="4" t="s">
        <v>16</v>
      </c>
      <c r="G44" s="4" t="s">
        <v>125</v>
      </c>
      <c r="H44" s="5">
        <v>35643</v>
      </c>
      <c r="I44" s="4" t="str">
        <f t="shared" si="6"/>
        <v>vendredi</v>
      </c>
      <c r="J44" s="4" t="str">
        <f t="shared" si="7"/>
        <v>août</v>
      </c>
      <c r="K44" s="4">
        <f t="shared" si="8"/>
        <v>1997</v>
      </c>
      <c r="L44" s="4">
        <f t="shared" ca="1" si="9"/>
        <v>28</v>
      </c>
      <c r="M44" s="4">
        <v>1</v>
      </c>
      <c r="N44" s="4">
        <v>709</v>
      </c>
      <c r="O44" s="13">
        <v>3.8</v>
      </c>
      <c r="P44" s="13">
        <v>4</v>
      </c>
      <c r="Q44" s="13">
        <f t="shared" si="10"/>
        <v>3.9</v>
      </c>
      <c r="R44" s="4" t="str">
        <f t="shared" si="11"/>
        <v>ECHEC</v>
      </c>
    </row>
    <row r="45" spans="1:18" ht="20.100000000000001" customHeight="1" x14ac:dyDescent="0.3">
      <c r="A45" s="4" t="s">
        <v>12</v>
      </c>
      <c r="B45" s="4" t="s">
        <v>57</v>
      </c>
      <c r="C45" s="4" t="s">
        <v>58</v>
      </c>
      <c r="D45" s="4" t="s">
        <v>59</v>
      </c>
      <c r="E45" s="4">
        <v>21</v>
      </c>
      <c r="F45" s="4" t="s">
        <v>56</v>
      </c>
      <c r="G45" s="4" t="s">
        <v>17</v>
      </c>
      <c r="H45" s="5">
        <v>33566</v>
      </c>
      <c r="I45" s="4" t="str">
        <f t="shared" si="6"/>
        <v>dimanche</v>
      </c>
      <c r="J45" s="4" t="str">
        <f t="shared" si="7"/>
        <v>novembre</v>
      </c>
      <c r="K45" s="4">
        <f t="shared" si="8"/>
        <v>1991</v>
      </c>
      <c r="L45" s="4">
        <f t="shared" ca="1" si="9"/>
        <v>34</v>
      </c>
      <c r="M45" s="4">
        <v>2</v>
      </c>
      <c r="N45" s="4">
        <v>1245</v>
      </c>
      <c r="O45" s="13">
        <v>4.8</v>
      </c>
      <c r="P45" s="13">
        <v>4.4000000000000004</v>
      </c>
      <c r="Q45" s="13">
        <f t="shared" si="10"/>
        <v>4.5999999999999996</v>
      </c>
      <c r="R45" s="4" t="str">
        <f t="shared" si="11"/>
        <v>REUSSITE</v>
      </c>
    </row>
    <row r="46" spans="1:18" ht="20.100000000000001" customHeight="1" x14ac:dyDescent="0.3">
      <c r="A46" s="4" t="s">
        <v>18</v>
      </c>
      <c r="B46" s="4" t="s">
        <v>116</v>
      </c>
      <c r="C46" s="4" t="s">
        <v>117</v>
      </c>
      <c r="D46" s="4" t="s">
        <v>118</v>
      </c>
      <c r="E46" s="4">
        <v>33</v>
      </c>
      <c r="F46" s="4" t="s">
        <v>67</v>
      </c>
      <c r="G46" s="4" t="s">
        <v>100</v>
      </c>
      <c r="H46" s="5">
        <v>33549</v>
      </c>
      <c r="I46" s="4" t="str">
        <f t="shared" si="6"/>
        <v>jeudi</v>
      </c>
      <c r="J46" s="4" t="str">
        <f t="shared" si="7"/>
        <v>novembre</v>
      </c>
      <c r="K46" s="4">
        <f t="shared" si="8"/>
        <v>1991</v>
      </c>
      <c r="L46" s="4">
        <f t="shared" ca="1" si="9"/>
        <v>34</v>
      </c>
      <c r="M46" s="4">
        <v>3</v>
      </c>
      <c r="N46" s="4">
        <v>1315</v>
      </c>
      <c r="O46" s="13">
        <v>4.3</v>
      </c>
      <c r="P46" s="13">
        <v>6</v>
      </c>
      <c r="Q46" s="13">
        <f t="shared" si="10"/>
        <v>5.15</v>
      </c>
      <c r="R46" s="4" t="str">
        <f t="shared" si="11"/>
        <v>REUSSITE</v>
      </c>
    </row>
    <row r="47" spans="1:18" ht="20.100000000000001" customHeight="1" x14ac:dyDescent="0.3">
      <c r="A47" s="4" t="s">
        <v>18</v>
      </c>
      <c r="B47" s="4" t="s">
        <v>159</v>
      </c>
      <c r="C47" s="4" t="s">
        <v>160</v>
      </c>
      <c r="D47" s="4" t="s">
        <v>161</v>
      </c>
      <c r="E47" s="4">
        <v>26</v>
      </c>
      <c r="F47" s="4" t="s">
        <v>43</v>
      </c>
      <c r="G47" s="4" t="s">
        <v>48</v>
      </c>
      <c r="H47" s="5">
        <v>37344</v>
      </c>
      <c r="I47" s="4" t="str">
        <f t="shared" si="6"/>
        <v>vendredi</v>
      </c>
      <c r="J47" s="4" t="str">
        <f t="shared" si="7"/>
        <v>mars</v>
      </c>
      <c r="K47" s="4">
        <f t="shared" si="8"/>
        <v>2002</v>
      </c>
      <c r="L47" s="4">
        <f t="shared" ca="1" si="9"/>
        <v>23</v>
      </c>
      <c r="M47" s="4">
        <v>2</v>
      </c>
      <c r="N47" s="4">
        <v>1106</v>
      </c>
      <c r="O47" s="13">
        <v>4.5</v>
      </c>
      <c r="P47" s="13">
        <v>5.6</v>
      </c>
      <c r="Q47" s="13">
        <f t="shared" si="10"/>
        <v>5.05</v>
      </c>
      <c r="R47" s="4" t="str">
        <f t="shared" si="11"/>
        <v>REUSSITE</v>
      </c>
    </row>
    <row r="48" spans="1:18" ht="20.100000000000001" customHeight="1" x14ac:dyDescent="0.3">
      <c r="A48" s="4" t="s">
        <v>12</v>
      </c>
      <c r="B48" s="4" t="s">
        <v>177</v>
      </c>
      <c r="C48" s="4" t="s">
        <v>178</v>
      </c>
      <c r="D48" s="4" t="s">
        <v>179</v>
      </c>
      <c r="E48" s="4">
        <v>17</v>
      </c>
      <c r="F48" s="4" t="s">
        <v>16</v>
      </c>
      <c r="G48" s="4" t="s">
        <v>44</v>
      </c>
      <c r="H48" s="5">
        <v>36798</v>
      </c>
      <c r="I48" s="4" t="str">
        <f t="shared" si="6"/>
        <v>vendredi</v>
      </c>
      <c r="J48" s="4" t="str">
        <f t="shared" si="7"/>
        <v>septembre</v>
      </c>
      <c r="K48" s="4">
        <f t="shared" si="8"/>
        <v>2000</v>
      </c>
      <c r="L48" s="4">
        <f t="shared" ca="1" si="9"/>
        <v>25</v>
      </c>
      <c r="M48" s="4">
        <v>4</v>
      </c>
      <c r="N48" s="4">
        <v>1617</v>
      </c>
      <c r="O48" s="13">
        <v>5.5</v>
      </c>
      <c r="P48" s="13">
        <v>4.8</v>
      </c>
      <c r="Q48" s="13">
        <f t="shared" si="10"/>
        <v>5.15</v>
      </c>
      <c r="R48" s="4" t="str">
        <f t="shared" si="11"/>
        <v>REUSSITE</v>
      </c>
    </row>
    <row r="49" spans="1:18" ht="20.100000000000001" customHeight="1" x14ac:dyDescent="0.3">
      <c r="A49" s="4" t="s">
        <v>12</v>
      </c>
      <c r="B49" s="4" t="s">
        <v>162</v>
      </c>
      <c r="C49" s="4" t="s">
        <v>163</v>
      </c>
      <c r="D49" s="4" t="s">
        <v>164</v>
      </c>
      <c r="E49" s="4">
        <v>28</v>
      </c>
      <c r="F49" s="4" t="s">
        <v>67</v>
      </c>
      <c r="G49" s="4" t="s">
        <v>17</v>
      </c>
      <c r="H49" s="5">
        <v>37285</v>
      </c>
      <c r="I49" s="4" t="str">
        <f t="shared" si="6"/>
        <v>mardi</v>
      </c>
      <c r="J49" s="4" t="str">
        <f t="shared" si="7"/>
        <v>janvier</v>
      </c>
      <c r="K49" s="4">
        <f t="shared" si="8"/>
        <v>2002</v>
      </c>
      <c r="L49" s="4">
        <f t="shared" ca="1" si="9"/>
        <v>23</v>
      </c>
      <c r="M49" s="4">
        <v>1</v>
      </c>
      <c r="N49" s="4">
        <v>746</v>
      </c>
      <c r="O49" s="13">
        <v>5.0999999999999996</v>
      </c>
      <c r="P49" s="13">
        <v>3.9</v>
      </c>
      <c r="Q49" s="13">
        <f t="shared" si="10"/>
        <v>4.5</v>
      </c>
      <c r="R49" s="4" t="str">
        <f t="shared" si="11"/>
        <v>REUSSITE</v>
      </c>
    </row>
    <row r="50" spans="1:18" ht="20.100000000000001" customHeight="1" x14ac:dyDescent="0.3">
      <c r="A50" s="4" t="s">
        <v>18</v>
      </c>
      <c r="B50" s="4" t="s">
        <v>188</v>
      </c>
      <c r="C50" s="4" t="s">
        <v>189</v>
      </c>
      <c r="D50" s="4" t="s">
        <v>131</v>
      </c>
      <c r="E50" s="4">
        <v>1</v>
      </c>
      <c r="F50" s="4" t="s">
        <v>27</v>
      </c>
      <c r="G50" s="4" t="s">
        <v>125</v>
      </c>
      <c r="H50" s="5">
        <v>34064</v>
      </c>
      <c r="I50" s="4" t="str">
        <f t="shared" si="6"/>
        <v>lundi</v>
      </c>
      <c r="J50" s="4" t="str">
        <f t="shared" si="7"/>
        <v>avril</v>
      </c>
      <c r="K50" s="4">
        <f t="shared" si="8"/>
        <v>1993</v>
      </c>
      <c r="L50" s="4">
        <f t="shared" ca="1" si="9"/>
        <v>32</v>
      </c>
      <c r="M50" s="4">
        <v>3</v>
      </c>
      <c r="N50" s="4">
        <v>1386</v>
      </c>
      <c r="O50" s="13">
        <v>4.9000000000000004</v>
      </c>
      <c r="P50" s="13">
        <v>5.6</v>
      </c>
      <c r="Q50" s="13">
        <f t="shared" si="10"/>
        <v>5.25</v>
      </c>
      <c r="R50" s="4" t="str">
        <f t="shared" si="11"/>
        <v>REUSSITE</v>
      </c>
    </row>
    <row r="51" spans="1:18" ht="20.100000000000001" customHeight="1" x14ac:dyDescent="0.3">
      <c r="A51" s="4" t="s">
        <v>12</v>
      </c>
      <c r="B51" s="4" t="s">
        <v>296</v>
      </c>
      <c r="C51" s="4" t="s">
        <v>297</v>
      </c>
      <c r="D51" s="4" t="s">
        <v>298</v>
      </c>
      <c r="E51" s="4">
        <v>48</v>
      </c>
      <c r="F51" s="4" t="s">
        <v>16</v>
      </c>
      <c r="G51" s="4" t="s">
        <v>32</v>
      </c>
      <c r="H51" s="5">
        <v>36101</v>
      </c>
      <c r="I51" s="4" t="str">
        <f t="shared" si="6"/>
        <v>lundi</v>
      </c>
      <c r="J51" s="4" t="str">
        <f t="shared" si="7"/>
        <v>novembre</v>
      </c>
      <c r="K51" s="4">
        <f t="shared" si="8"/>
        <v>1998</v>
      </c>
      <c r="L51" s="4">
        <f t="shared" ca="1" si="9"/>
        <v>27</v>
      </c>
      <c r="M51" s="4">
        <v>3</v>
      </c>
      <c r="N51" s="4">
        <v>1573</v>
      </c>
      <c r="O51" s="13">
        <v>6</v>
      </c>
      <c r="P51" s="13">
        <v>3.8</v>
      </c>
      <c r="Q51" s="13">
        <f t="shared" si="10"/>
        <v>4.9000000000000004</v>
      </c>
      <c r="R51" s="4" t="str">
        <f t="shared" si="11"/>
        <v>REUSSITE</v>
      </c>
    </row>
    <row r="52" spans="1:18" ht="20.100000000000001" customHeight="1" x14ac:dyDescent="0.3">
      <c r="A52" s="4" t="s">
        <v>12</v>
      </c>
      <c r="B52" s="4" t="s">
        <v>36</v>
      </c>
      <c r="C52" s="4" t="s">
        <v>37</v>
      </c>
      <c r="D52" s="4" t="s">
        <v>38</v>
      </c>
      <c r="E52" s="4">
        <v>27</v>
      </c>
      <c r="F52" s="4" t="s">
        <v>39</v>
      </c>
      <c r="G52" s="4" t="s">
        <v>23</v>
      </c>
      <c r="H52" s="5">
        <v>34510</v>
      </c>
      <c r="I52" s="4" t="str">
        <f t="shared" si="6"/>
        <v>samedi</v>
      </c>
      <c r="J52" s="4" t="str">
        <f t="shared" si="7"/>
        <v>juin</v>
      </c>
      <c r="K52" s="4">
        <f t="shared" si="8"/>
        <v>1994</v>
      </c>
      <c r="L52" s="4">
        <f t="shared" ca="1" si="9"/>
        <v>31</v>
      </c>
      <c r="M52" s="4">
        <v>1</v>
      </c>
      <c r="N52" s="4">
        <v>746</v>
      </c>
      <c r="O52" s="13">
        <v>6</v>
      </c>
      <c r="P52" s="13">
        <v>6</v>
      </c>
      <c r="Q52" s="13">
        <f t="shared" si="10"/>
        <v>6</v>
      </c>
      <c r="R52" s="4" t="str">
        <f t="shared" si="11"/>
        <v>REUSSITE</v>
      </c>
    </row>
    <row r="53" spans="1:18" ht="20.100000000000001" customHeight="1" x14ac:dyDescent="0.3">
      <c r="A53" s="4" t="s">
        <v>18</v>
      </c>
      <c r="B53" s="4" t="s">
        <v>199</v>
      </c>
      <c r="C53" s="4" t="s">
        <v>169</v>
      </c>
      <c r="D53" s="4" t="s">
        <v>200</v>
      </c>
      <c r="E53" s="4">
        <v>45</v>
      </c>
      <c r="F53" s="4" t="s">
        <v>56</v>
      </c>
      <c r="G53" s="4" t="s">
        <v>48</v>
      </c>
      <c r="H53" s="5">
        <v>37416</v>
      </c>
      <c r="I53" s="4" t="str">
        <f t="shared" si="6"/>
        <v>dimanche</v>
      </c>
      <c r="J53" s="4" t="str">
        <f t="shared" si="7"/>
        <v>juin</v>
      </c>
      <c r="K53" s="4">
        <f t="shared" si="8"/>
        <v>2002</v>
      </c>
      <c r="L53" s="4">
        <f t="shared" ca="1" si="9"/>
        <v>23</v>
      </c>
      <c r="M53" s="4">
        <v>4</v>
      </c>
      <c r="N53" s="4">
        <v>1830</v>
      </c>
      <c r="O53" s="13">
        <v>4.3</v>
      </c>
      <c r="P53" s="13">
        <v>3.5</v>
      </c>
      <c r="Q53" s="13">
        <f t="shared" si="10"/>
        <v>3.9</v>
      </c>
      <c r="R53" s="4" t="str">
        <f t="shared" si="11"/>
        <v>ECHEC</v>
      </c>
    </row>
    <row r="54" spans="1:18" ht="20.100000000000001" customHeight="1" x14ac:dyDescent="0.3">
      <c r="A54" s="4" t="s">
        <v>18</v>
      </c>
      <c r="B54" s="4" t="s">
        <v>132</v>
      </c>
      <c r="C54" s="4" t="s">
        <v>133</v>
      </c>
      <c r="D54" s="4" t="s">
        <v>134</v>
      </c>
      <c r="E54" s="4">
        <v>8</v>
      </c>
      <c r="F54" s="4" t="s">
        <v>56</v>
      </c>
      <c r="G54" s="4" t="s">
        <v>48</v>
      </c>
      <c r="H54" s="5">
        <v>33972</v>
      </c>
      <c r="I54" s="4" t="str">
        <f t="shared" si="6"/>
        <v>dimanche</v>
      </c>
      <c r="J54" s="4" t="str">
        <f t="shared" si="7"/>
        <v>janvier</v>
      </c>
      <c r="K54" s="4">
        <f t="shared" si="8"/>
        <v>1993</v>
      </c>
      <c r="L54" s="4">
        <f t="shared" ca="1" si="9"/>
        <v>32</v>
      </c>
      <c r="M54" s="4">
        <v>1</v>
      </c>
      <c r="N54" s="4">
        <v>703</v>
      </c>
      <c r="O54" s="13">
        <v>5.3</v>
      </c>
      <c r="P54" s="13">
        <v>5.6</v>
      </c>
      <c r="Q54" s="13">
        <f t="shared" si="10"/>
        <v>5.4499999999999993</v>
      </c>
      <c r="R54" s="4" t="str">
        <f t="shared" si="11"/>
        <v>REUSSITE</v>
      </c>
    </row>
    <row r="55" spans="1:18" ht="20.100000000000001" customHeight="1" x14ac:dyDescent="0.3">
      <c r="A55" s="4" t="s">
        <v>18</v>
      </c>
      <c r="B55" s="4" t="s">
        <v>53</v>
      </c>
      <c r="C55" s="4" t="s">
        <v>54</v>
      </c>
      <c r="D55" s="4" t="s">
        <v>55</v>
      </c>
      <c r="E55" s="4">
        <v>39</v>
      </c>
      <c r="F55" s="4" t="s">
        <v>56</v>
      </c>
      <c r="G55" s="4" t="s">
        <v>44</v>
      </c>
      <c r="H55" s="5">
        <v>34232</v>
      </c>
      <c r="I55" s="4" t="str">
        <f t="shared" si="6"/>
        <v>lundi</v>
      </c>
      <c r="J55" s="4" t="str">
        <f t="shared" si="7"/>
        <v>septembre</v>
      </c>
      <c r="K55" s="4">
        <f t="shared" si="8"/>
        <v>1993</v>
      </c>
      <c r="L55" s="4">
        <f t="shared" ca="1" si="9"/>
        <v>32</v>
      </c>
      <c r="M55" s="4">
        <v>3</v>
      </c>
      <c r="N55" s="4">
        <v>1551</v>
      </c>
      <c r="O55" s="13">
        <v>2.9</v>
      </c>
      <c r="P55" s="13">
        <v>4.3</v>
      </c>
      <c r="Q55" s="13">
        <f t="shared" si="10"/>
        <v>3.5999999999999996</v>
      </c>
      <c r="R55" s="4" t="str">
        <f t="shared" si="11"/>
        <v>ECHEC</v>
      </c>
    </row>
    <row r="56" spans="1:18" ht="20.100000000000001" customHeight="1" x14ac:dyDescent="0.3">
      <c r="A56" s="4" t="s">
        <v>18</v>
      </c>
      <c r="B56" s="4" t="s">
        <v>97</v>
      </c>
      <c r="C56" s="4" t="s">
        <v>98</v>
      </c>
      <c r="D56" s="4" t="s">
        <v>99</v>
      </c>
      <c r="E56" s="4">
        <v>12</v>
      </c>
      <c r="F56" s="4" t="s">
        <v>67</v>
      </c>
      <c r="G56" s="4" t="s">
        <v>100</v>
      </c>
      <c r="H56" s="5">
        <v>36763</v>
      </c>
      <c r="I56" s="4" t="str">
        <f t="shared" si="6"/>
        <v>vendredi</v>
      </c>
      <c r="J56" s="4" t="str">
        <f t="shared" si="7"/>
        <v>août</v>
      </c>
      <c r="K56" s="4">
        <f t="shared" si="8"/>
        <v>2000</v>
      </c>
      <c r="L56" s="4">
        <f t="shared" ca="1" si="9"/>
        <v>25</v>
      </c>
      <c r="M56" s="4">
        <v>3</v>
      </c>
      <c r="N56" s="4">
        <v>1570</v>
      </c>
      <c r="O56" s="13">
        <v>3.6</v>
      </c>
      <c r="P56" s="13">
        <v>4.5</v>
      </c>
      <c r="Q56" s="13">
        <f t="shared" si="10"/>
        <v>4.05</v>
      </c>
      <c r="R56" s="4" t="str">
        <f t="shared" si="11"/>
        <v>REUSSITE</v>
      </c>
    </row>
    <row r="57" spans="1:18" ht="20.100000000000001" customHeight="1" x14ac:dyDescent="0.3">
      <c r="A57" s="4" t="s">
        <v>18</v>
      </c>
      <c r="B57" s="4" t="s">
        <v>314</v>
      </c>
      <c r="C57" s="4" t="s">
        <v>315</v>
      </c>
      <c r="D57" s="4" t="s">
        <v>316</v>
      </c>
      <c r="E57" s="4">
        <v>24</v>
      </c>
      <c r="F57" s="4" t="s">
        <v>43</v>
      </c>
      <c r="G57" s="4" t="s">
        <v>125</v>
      </c>
      <c r="H57" s="5">
        <v>34976</v>
      </c>
      <c r="I57" s="4" t="str">
        <f t="shared" si="6"/>
        <v>mercredi</v>
      </c>
      <c r="J57" s="4" t="str">
        <f t="shared" si="7"/>
        <v>octobre</v>
      </c>
      <c r="K57" s="4">
        <f t="shared" si="8"/>
        <v>1995</v>
      </c>
      <c r="L57" s="4">
        <f t="shared" ca="1" si="9"/>
        <v>30</v>
      </c>
      <c r="M57" s="4">
        <v>1</v>
      </c>
      <c r="N57" s="4">
        <v>712</v>
      </c>
      <c r="O57" s="13">
        <v>2.7</v>
      </c>
      <c r="P57" s="13">
        <v>4.5999999999999996</v>
      </c>
      <c r="Q57" s="13">
        <f t="shared" si="10"/>
        <v>3.65</v>
      </c>
      <c r="R57" s="4" t="str">
        <f t="shared" si="11"/>
        <v>ECHEC</v>
      </c>
    </row>
    <row r="58" spans="1:18" ht="20.100000000000001" customHeight="1" x14ac:dyDescent="0.3">
      <c r="A58" s="4" t="s">
        <v>12</v>
      </c>
      <c r="B58" s="4" t="s">
        <v>290</v>
      </c>
      <c r="C58" s="4" t="s">
        <v>291</v>
      </c>
      <c r="D58" s="4" t="s">
        <v>292</v>
      </c>
      <c r="E58" s="4">
        <v>30</v>
      </c>
      <c r="F58" s="4" t="s">
        <v>39</v>
      </c>
      <c r="G58" s="4" t="s">
        <v>125</v>
      </c>
      <c r="H58" s="5">
        <v>35824</v>
      </c>
      <c r="I58" s="4" t="str">
        <f t="shared" si="6"/>
        <v>jeudi</v>
      </c>
      <c r="J58" s="4" t="str">
        <f t="shared" si="7"/>
        <v>janvier</v>
      </c>
      <c r="K58" s="4">
        <f t="shared" si="8"/>
        <v>1998</v>
      </c>
      <c r="L58" s="4">
        <f t="shared" ca="1" si="9"/>
        <v>27</v>
      </c>
      <c r="M58" s="4">
        <v>4</v>
      </c>
      <c r="N58" s="4">
        <v>1609</v>
      </c>
      <c r="O58" s="13">
        <v>5.3</v>
      </c>
      <c r="P58" s="13">
        <v>5.8</v>
      </c>
      <c r="Q58" s="13">
        <f t="shared" si="10"/>
        <v>5.55</v>
      </c>
      <c r="R58" s="4" t="str">
        <f t="shared" si="11"/>
        <v>REUSSITE</v>
      </c>
    </row>
    <row r="59" spans="1:18" ht="20.100000000000001" customHeight="1" x14ac:dyDescent="0.3">
      <c r="A59" s="4" t="s">
        <v>18</v>
      </c>
      <c r="B59" s="4" t="s">
        <v>119</v>
      </c>
      <c r="C59" s="4" t="s">
        <v>263</v>
      </c>
      <c r="D59" s="4" t="s">
        <v>264</v>
      </c>
      <c r="E59" s="4">
        <v>35</v>
      </c>
      <c r="F59" s="4" t="s">
        <v>39</v>
      </c>
      <c r="G59" s="4" t="s">
        <v>23</v>
      </c>
      <c r="H59" s="5">
        <v>36966</v>
      </c>
      <c r="I59" s="4" t="str">
        <f t="shared" si="6"/>
        <v>vendredi</v>
      </c>
      <c r="J59" s="4" t="str">
        <f t="shared" si="7"/>
        <v>mars</v>
      </c>
      <c r="K59" s="4">
        <f t="shared" si="8"/>
        <v>2001</v>
      </c>
      <c r="L59" s="4">
        <f t="shared" ca="1" si="9"/>
        <v>24</v>
      </c>
      <c r="M59" s="4">
        <v>1</v>
      </c>
      <c r="N59" s="4">
        <v>778</v>
      </c>
      <c r="O59" s="13">
        <v>6</v>
      </c>
      <c r="P59" s="13">
        <v>4.8</v>
      </c>
      <c r="Q59" s="13">
        <f t="shared" si="10"/>
        <v>5.4</v>
      </c>
      <c r="R59" s="4" t="str">
        <f t="shared" si="11"/>
        <v>REUSSITE</v>
      </c>
    </row>
    <row r="60" spans="1:18" ht="20.100000000000001" customHeight="1" x14ac:dyDescent="0.3">
      <c r="A60" s="4" t="s">
        <v>18</v>
      </c>
      <c r="B60" s="4" t="s">
        <v>119</v>
      </c>
      <c r="C60" s="4" t="s">
        <v>120</v>
      </c>
      <c r="D60" s="4" t="s">
        <v>121</v>
      </c>
      <c r="E60" s="4">
        <v>50</v>
      </c>
      <c r="F60" s="4" t="s">
        <v>16</v>
      </c>
      <c r="G60" s="4" t="s">
        <v>48</v>
      </c>
      <c r="H60" s="5">
        <v>35001</v>
      </c>
      <c r="I60" s="4" t="str">
        <f t="shared" si="6"/>
        <v>dimanche</v>
      </c>
      <c r="J60" s="4" t="str">
        <f t="shared" si="7"/>
        <v>octobre</v>
      </c>
      <c r="K60" s="4">
        <f t="shared" si="8"/>
        <v>1995</v>
      </c>
      <c r="L60" s="4">
        <f t="shared" ca="1" si="9"/>
        <v>30</v>
      </c>
      <c r="M60" s="4">
        <v>2</v>
      </c>
      <c r="N60" s="4">
        <v>1075</v>
      </c>
      <c r="O60" s="13">
        <v>4.5</v>
      </c>
      <c r="P60" s="13">
        <v>4.8</v>
      </c>
      <c r="Q60" s="13">
        <f t="shared" si="10"/>
        <v>4.6500000000000004</v>
      </c>
      <c r="R60" s="4" t="str">
        <f t="shared" si="11"/>
        <v>REUSSITE</v>
      </c>
    </row>
    <row r="61" spans="1:18" ht="20.100000000000001" customHeight="1" x14ac:dyDescent="0.3">
      <c r="A61" s="4" t="s">
        <v>12</v>
      </c>
      <c r="B61" s="4" t="s">
        <v>147</v>
      </c>
      <c r="C61" s="4" t="s">
        <v>148</v>
      </c>
      <c r="D61" s="4" t="s">
        <v>149</v>
      </c>
      <c r="E61" s="4">
        <v>26</v>
      </c>
      <c r="F61" s="4" t="s">
        <v>43</v>
      </c>
      <c r="G61" s="4" t="s">
        <v>100</v>
      </c>
      <c r="H61" s="5">
        <v>35560</v>
      </c>
      <c r="I61" s="4" t="str">
        <f t="shared" si="6"/>
        <v>samedi</v>
      </c>
      <c r="J61" s="4" t="str">
        <f t="shared" si="7"/>
        <v>mai</v>
      </c>
      <c r="K61" s="4">
        <f t="shared" si="8"/>
        <v>1997</v>
      </c>
      <c r="L61" s="4">
        <f t="shared" ca="1" si="9"/>
        <v>28</v>
      </c>
      <c r="M61" s="4">
        <v>3</v>
      </c>
      <c r="N61" s="4">
        <v>1422</v>
      </c>
      <c r="O61" s="13">
        <v>3.9</v>
      </c>
      <c r="P61" s="13">
        <v>3.8</v>
      </c>
      <c r="Q61" s="13">
        <f t="shared" si="10"/>
        <v>3.8499999999999996</v>
      </c>
      <c r="R61" s="4" t="str">
        <f t="shared" si="11"/>
        <v>ECHEC</v>
      </c>
    </row>
    <row r="62" spans="1:18" ht="20.100000000000001" customHeight="1" x14ac:dyDescent="0.3">
      <c r="A62" s="4" t="s">
        <v>18</v>
      </c>
      <c r="B62" s="4" t="s">
        <v>320</v>
      </c>
      <c r="C62" s="4" t="s">
        <v>312</v>
      </c>
      <c r="D62" s="4" t="s">
        <v>321</v>
      </c>
      <c r="E62" s="4">
        <v>27</v>
      </c>
      <c r="F62" s="4" t="s">
        <v>63</v>
      </c>
      <c r="G62" s="4" t="s">
        <v>44</v>
      </c>
      <c r="H62" s="5">
        <v>37084</v>
      </c>
      <c r="I62" s="4" t="str">
        <f t="shared" si="6"/>
        <v>jeudi</v>
      </c>
      <c r="J62" s="4" t="str">
        <f t="shared" si="7"/>
        <v>juillet</v>
      </c>
      <c r="K62" s="4">
        <f t="shared" si="8"/>
        <v>2001</v>
      </c>
      <c r="L62" s="4">
        <f t="shared" ca="1" si="9"/>
        <v>24</v>
      </c>
      <c r="M62" s="4">
        <v>3</v>
      </c>
      <c r="N62" s="4">
        <v>1568</v>
      </c>
      <c r="O62" s="13">
        <v>5.0999999999999996</v>
      </c>
      <c r="P62" s="13">
        <v>3.7</v>
      </c>
      <c r="Q62" s="13">
        <f t="shared" si="10"/>
        <v>4.4000000000000004</v>
      </c>
      <c r="R62" s="4" t="str">
        <f t="shared" si="11"/>
        <v>REUSSITE</v>
      </c>
    </row>
    <row r="63" spans="1:18" ht="20.100000000000001" customHeight="1" x14ac:dyDescent="0.3">
      <c r="A63" s="4" t="s">
        <v>12</v>
      </c>
      <c r="B63" s="4" t="s">
        <v>174</v>
      </c>
      <c r="C63" s="4" t="s">
        <v>175</v>
      </c>
      <c r="D63" s="4" t="s">
        <v>176</v>
      </c>
      <c r="E63" s="4">
        <v>24</v>
      </c>
      <c r="F63" s="4" t="s">
        <v>16</v>
      </c>
      <c r="G63" s="4" t="s">
        <v>74</v>
      </c>
      <c r="H63" s="5">
        <v>35991</v>
      </c>
      <c r="I63" s="4" t="str">
        <f t="shared" si="6"/>
        <v>mercredi</v>
      </c>
      <c r="J63" s="4" t="str">
        <f t="shared" si="7"/>
        <v>juillet</v>
      </c>
      <c r="K63" s="4">
        <f t="shared" si="8"/>
        <v>1998</v>
      </c>
      <c r="L63" s="4">
        <f t="shared" ca="1" si="9"/>
        <v>27</v>
      </c>
      <c r="M63" s="4">
        <v>1</v>
      </c>
      <c r="N63" s="4">
        <v>786</v>
      </c>
      <c r="O63" s="13">
        <v>2.7</v>
      </c>
      <c r="P63" s="13">
        <v>4.8</v>
      </c>
      <c r="Q63" s="13">
        <f t="shared" si="10"/>
        <v>3.75</v>
      </c>
      <c r="R63" s="4" t="str">
        <f t="shared" si="11"/>
        <v>ECHEC</v>
      </c>
    </row>
    <row r="64" spans="1:18" ht="20.100000000000001" customHeight="1" x14ac:dyDescent="0.3">
      <c r="A64" s="4" t="s">
        <v>12</v>
      </c>
      <c r="B64" s="4" t="s">
        <v>214</v>
      </c>
      <c r="C64" s="4" t="s">
        <v>215</v>
      </c>
      <c r="D64" s="4" t="s">
        <v>106</v>
      </c>
      <c r="E64" s="4">
        <v>37</v>
      </c>
      <c r="F64" s="4" t="s">
        <v>27</v>
      </c>
      <c r="G64" s="4" t="s">
        <v>44</v>
      </c>
      <c r="H64" s="5">
        <v>37308</v>
      </c>
      <c r="I64" s="4" t="str">
        <f t="shared" si="6"/>
        <v>jeudi</v>
      </c>
      <c r="J64" s="4" t="str">
        <f t="shared" si="7"/>
        <v>février</v>
      </c>
      <c r="K64" s="4">
        <f t="shared" si="8"/>
        <v>2002</v>
      </c>
      <c r="L64" s="4">
        <f t="shared" ca="1" si="9"/>
        <v>23</v>
      </c>
      <c r="M64" s="4">
        <v>3</v>
      </c>
      <c r="N64" s="4">
        <v>1583</v>
      </c>
      <c r="O64" s="13">
        <v>3.5</v>
      </c>
      <c r="P64" s="13">
        <v>5.0999999999999996</v>
      </c>
      <c r="Q64" s="13">
        <f t="shared" si="10"/>
        <v>4.3</v>
      </c>
      <c r="R64" s="4" t="str">
        <f t="shared" si="11"/>
        <v>REUSSITE</v>
      </c>
    </row>
    <row r="65" spans="1:18" ht="20.100000000000001" customHeight="1" x14ac:dyDescent="0.3">
      <c r="A65" s="4" t="s">
        <v>12</v>
      </c>
      <c r="B65" s="4" t="s">
        <v>231</v>
      </c>
      <c r="C65" s="4" t="s">
        <v>232</v>
      </c>
      <c r="D65" s="4" t="s">
        <v>233</v>
      </c>
      <c r="E65" s="4">
        <v>30</v>
      </c>
      <c r="F65" s="4" t="s">
        <v>27</v>
      </c>
      <c r="G65" s="4" t="s">
        <v>210</v>
      </c>
      <c r="H65" s="5">
        <v>34316</v>
      </c>
      <c r="I65" s="4" t="str">
        <f t="shared" si="6"/>
        <v>lundi</v>
      </c>
      <c r="J65" s="4" t="str">
        <f t="shared" si="7"/>
        <v>décembre</v>
      </c>
      <c r="K65" s="4">
        <f t="shared" si="8"/>
        <v>1993</v>
      </c>
      <c r="L65" s="4">
        <f t="shared" ca="1" si="9"/>
        <v>32</v>
      </c>
      <c r="M65" s="4">
        <v>3</v>
      </c>
      <c r="N65" s="4">
        <v>1333</v>
      </c>
      <c r="O65" s="13">
        <v>3.2</v>
      </c>
      <c r="P65" s="13">
        <v>5.2</v>
      </c>
      <c r="Q65" s="13">
        <f t="shared" si="10"/>
        <v>4.2</v>
      </c>
      <c r="R65" s="4" t="str">
        <f t="shared" si="11"/>
        <v>REUSSITE</v>
      </c>
    </row>
    <row r="66" spans="1:18" ht="20.100000000000001" customHeight="1" x14ac:dyDescent="0.3">
      <c r="A66" s="4" t="s">
        <v>12</v>
      </c>
      <c r="B66" s="4" t="s">
        <v>322</v>
      </c>
      <c r="C66" s="4" t="s">
        <v>323</v>
      </c>
      <c r="D66" s="4" t="s">
        <v>324</v>
      </c>
      <c r="E66" s="4">
        <v>16</v>
      </c>
      <c r="F66" s="4" t="s">
        <v>16</v>
      </c>
      <c r="G66" s="4" t="s">
        <v>32</v>
      </c>
      <c r="H66" s="5">
        <v>36984</v>
      </c>
      <c r="I66" s="4" t="str">
        <f t="shared" ref="I66:I97" si="12">TEXT(H66,"jjjj")</f>
        <v>mardi</v>
      </c>
      <c r="J66" s="4" t="str">
        <f t="shared" ref="J66:J101" si="13">TEXT(H66,"mmmm")</f>
        <v>avril</v>
      </c>
      <c r="K66" s="4">
        <f t="shared" ref="K66:K101" si="14">YEAR(H66)</f>
        <v>2001</v>
      </c>
      <c r="L66" s="4">
        <f t="shared" ref="L66:L97" ca="1" si="15">YEAR(TODAY())-K66</f>
        <v>24</v>
      </c>
      <c r="M66" s="4">
        <v>3</v>
      </c>
      <c r="N66" s="4">
        <v>1212</v>
      </c>
      <c r="O66" s="13">
        <v>3.2</v>
      </c>
      <c r="P66" s="13">
        <v>5.5</v>
      </c>
      <c r="Q66" s="13">
        <f t="shared" ref="Q66:Q97" si="16">AVERAGE(O66,P66)</f>
        <v>4.3499999999999996</v>
      </c>
      <c r="R66" s="4" t="str">
        <f t="shared" ref="R66:R97" si="17">IF(Q66&lt;4,"ECHEC","REUSSITE")</f>
        <v>REUSSITE</v>
      </c>
    </row>
    <row r="67" spans="1:18" ht="20.100000000000001" customHeight="1" x14ac:dyDescent="0.3">
      <c r="A67" s="4" t="s">
        <v>18</v>
      </c>
      <c r="B67" s="4" t="s">
        <v>207</v>
      </c>
      <c r="C67" s="4" t="s">
        <v>208</v>
      </c>
      <c r="D67" s="4" t="s">
        <v>209</v>
      </c>
      <c r="E67" s="4">
        <v>23</v>
      </c>
      <c r="F67" s="4" t="s">
        <v>56</v>
      </c>
      <c r="G67" s="4" t="s">
        <v>210</v>
      </c>
      <c r="H67" s="5">
        <v>35519</v>
      </c>
      <c r="I67" s="4" t="str">
        <f t="shared" si="12"/>
        <v>dimanche</v>
      </c>
      <c r="J67" s="4" t="str">
        <f t="shared" si="13"/>
        <v>mars</v>
      </c>
      <c r="K67" s="4">
        <f t="shared" si="14"/>
        <v>1997</v>
      </c>
      <c r="L67" s="4">
        <f t="shared" ca="1" si="15"/>
        <v>28</v>
      </c>
      <c r="M67" s="4">
        <v>2</v>
      </c>
      <c r="N67" s="4">
        <v>1254</v>
      </c>
      <c r="O67" s="13">
        <v>4.3</v>
      </c>
      <c r="P67" s="13">
        <v>3.7</v>
      </c>
      <c r="Q67" s="13">
        <f t="shared" si="16"/>
        <v>4</v>
      </c>
      <c r="R67" s="4" t="str">
        <f t="shared" si="17"/>
        <v>REUSSITE</v>
      </c>
    </row>
    <row r="68" spans="1:18" ht="20.100000000000001" customHeight="1" x14ac:dyDescent="0.3">
      <c r="A68" s="4" t="s">
        <v>12</v>
      </c>
      <c r="B68" s="4" t="s">
        <v>299</v>
      </c>
      <c r="C68" s="4" t="s">
        <v>300</v>
      </c>
      <c r="D68" s="4" t="s">
        <v>301</v>
      </c>
      <c r="E68" s="4">
        <v>25</v>
      </c>
      <c r="F68" s="4" t="s">
        <v>43</v>
      </c>
      <c r="G68" s="4" t="s">
        <v>44</v>
      </c>
      <c r="H68" s="5">
        <v>34209</v>
      </c>
      <c r="I68" s="4" t="str">
        <f t="shared" si="12"/>
        <v>samedi</v>
      </c>
      <c r="J68" s="4" t="str">
        <f t="shared" si="13"/>
        <v>août</v>
      </c>
      <c r="K68" s="4">
        <f t="shared" si="14"/>
        <v>1993</v>
      </c>
      <c r="L68" s="4">
        <f t="shared" ca="1" si="15"/>
        <v>32</v>
      </c>
      <c r="M68" s="4">
        <v>2</v>
      </c>
      <c r="N68" s="4">
        <v>1282</v>
      </c>
      <c r="O68" s="13">
        <v>2.9</v>
      </c>
      <c r="P68" s="13">
        <v>6</v>
      </c>
      <c r="Q68" s="13">
        <f t="shared" si="16"/>
        <v>4.45</v>
      </c>
      <c r="R68" s="4" t="str">
        <f t="shared" si="17"/>
        <v>REUSSITE</v>
      </c>
    </row>
    <row r="69" spans="1:18" ht="20.100000000000001" customHeight="1" x14ac:dyDescent="0.3">
      <c r="A69" s="4" t="s">
        <v>12</v>
      </c>
      <c r="B69" s="4" t="s">
        <v>33</v>
      </c>
      <c r="C69" s="4" t="s">
        <v>34</v>
      </c>
      <c r="D69" s="4" t="s">
        <v>35</v>
      </c>
      <c r="E69" s="4">
        <v>4</v>
      </c>
      <c r="F69" s="4" t="s">
        <v>27</v>
      </c>
      <c r="G69" s="4" t="s">
        <v>17</v>
      </c>
      <c r="H69" s="5">
        <v>33672</v>
      </c>
      <c r="I69" s="4" t="str">
        <f t="shared" si="12"/>
        <v>lundi</v>
      </c>
      <c r="J69" s="4" t="str">
        <f t="shared" si="13"/>
        <v>mars</v>
      </c>
      <c r="K69" s="4">
        <f t="shared" si="14"/>
        <v>1992</v>
      </c>
      <c r="L69" s="4">
        <f t="shared" ca="1" si="15"/>
        <v>33</v>
      </c>
      <c r="M69" s="4">
        <v>2</v>
      </c>
      <c r="N69" s="4">
        <v>1006</v>
      </c>
      <c r="O69" s="13">
        <v>4.7</v>
      </c>
      <c r="P69" s="13">
        <v>4</v>
      </c>
      <c r="Q69" s="13">
        <f t="shared" si="16"/>
        <v>4.3499999999999996</v>
      </c>
      <c r="R69" s="4" t="str">
        <f t="shared" si="17"/>
        <v>REUSSITE</v>
      </c>
    </row>
    <row r="70" spans="1:18" ht="20.100000000000001" customHeight="1" x14ac:dyDescent="0.3">
      <c r="A70" s="4" t="s">
        <v>12</v>
      </c>
      <c r="B70" s="4" t="s">
        <v>144</v>
      </c>
      <c r="C70" s="4" t="s">
        <v>145</v>
      </c>
      <c r="D70" s="4" t="s">
        <v>146</v>
      </c>
      <c r="E70" s="4">
        <v>20</v>
      </c>
      <c r="F70" s="4" t="s">
        <v>16</v>
      </c>
      <c r="G70" s="4" t="s">
        <v>100</v>
      </c>
      <c r="H70" s="5">
        <v>37060</v>
      </c>
      <c r="I70" s="4" t="str">
        <f t="shared" si="12"/>
        <v>lundi</v>
      </c>
      <c r="J70" s="4" t="str">
        <f t="shared" si="13"/>
        <v>juin</v>
      </c>
      <c r="K70" s="4">
        <f t="shared" si="14"/>
        <v>2001</v>
      </c>
      <c r="L70" s="4">
        <f t="shared" ca="1" si="15"/>
        <v>24</v>
      </c>
      <c r="M70" s="4">
        <v>2</v>
      </c>
      <c r="N70" s="4">
        <v>1056</v>
      </c>
      <c r="O70" s="13">
        <v>5.5</v>
      </c>
      <c r="P70" s="13">
        <v>6</v>
      </c>
      <c r="Q70" s="13">
        <f t="shared" si="16"/>
        <v>5.75</v>
      </c>
      <c r="R70" s="4" t="str">
        <f t="shared" si="17"/>
        <v>REUSSITE</v>
      </c>
    </row>
    <row r="71" spans="1:18" ht="20.100000000000001" customHeight="1" x14ac:dyDescent="0.3">
      <c r="A71" s="4" t="s">
        <v>12</v>
      </c>
      <c r="B71" s="4" t="s">
        <v>258</v>
      </c>
      <c r="C71" s="4" t="s">
        <v>139</v>
      </c>
      <c r="D71" s="4" t="s">
        <v>259</v>
      </c>
      <c r="E71" s="4">
        <v>1</v>
      </c>
      <c r="F71" s="4" t="s">
        <v>39</v>
      </c>
      <c r="G71" s="4" t="s">
        <v>17</v>
      </c>
      <c r="H71" s="5">
        <v>34204</v>
      </c>
      <c r="I71" s="4" t="str">
        <f t="shared" si="12"/>
        <v>lundi</v>
      </c>
      <c r="J71" s="4" t="str">
        <f t="shared" si="13"/>
        <v>août</v>
      </c>
      <c r="K71" s="4">
        <f t="shared" si="14"/>
        <v>1993</v>
      </c>
      <c r="L71" s="4">
        <f t="shared" ca="1" si="15"/>
        <v>32</v>
      </c>
      <c r="M71" s="4">
        <v>1</v>
      </c>
      <c r="N71" s="4">
        <v>735</v>
      </c>
      <c r="O71" s="13">
        <v>5.3</v>
      </c>
      <c r="P71" s="13">
        <v>4.7</v>
      </c>
      <c r="Q71" s="13">
        <f t="shared" si="16"/>
        <v>5</v>
      </c>
      <c r="R71" s="4" t="str">
        <f t="shared" si="17"/>
        <v>REUSSITE</v>
      </c>
    </row>
    <row r="72" spans="1:18" ht="20.100000000000001" customHeight="1" x14ac:dyDescent="0.3">
      <c r="A72" s="4" t="s">
        <v>18</v>
      </c>
      <c r="B72" s="4" t="s">
        <v>141</v>
      </c>
      <c r="C72" s="4" t="s">
        <v>142</v>
      </c>
      <c r="D72" s="4" t="s">
        <v>143</v>
      </c>
      <c r="E72" s="4">
        <v>34</v>
      </c>
      <c r="F72" s="4" t="s">
        <v>39</v>
      </c>
      <c r="G72" s="4" t="s">
        <v>44</v>
      </c>
      <c r="H72" s="5">
        <v>33707</v>
      </c>
      <c r="I72" s="4" t="str">
        <f t="shared" si="12"/>
        <v>lundi</v>
      </c>
      <c r="J72" s="4" t="str">
        <f t="shared" si="13"/>
        <v>avril</v>
      </c>
      <c r="K72" s="4">
        <f t="shared" si="14"/>
        <v>1992</v>
      </c>
      <c r="L72" s="4">
        <f t="shared" ca="1" si="15"/>
        <v>33</v>
      </c>
      <c r="M72" s="4">
        <v>2</v>
      </c>
      <c r="N72" s="4">
        <v>1015</v>
      </c>
      <c r="O72" s="13">
        <v>4.7</v>
      </c>
      <c r="P72" s="13">
        <v>5.8</v>
      </c>
      <c r="Q72" s="13">
        <f t="shared" si="16"/>
        <v>5.25</v>
      </c>
      <c r="R72" s="4" t="str">
        <f t="shared" si="17"/>
        <v>REUSSITE</v>
      </c>
    </row>
    <row r="73" spans="1:18" ht="20.100000000000001" customHeight="1" x14ac:dyDescent="0.3">
      <c r="A73" s="4" t="s">
        <v>18</v>
      </c>
      <c r="B73" s="4" t="s">
        <v>19</v>
      </c>
      <c r="C73" s="4" t="s">
        <v>20</v>
      </c>
      <c r="D73" s="4" t="s">
        <v>21</v>
      </c>
      <c r="E73" s="4">
        <v>13</v>
      </c>
      <c r="F73" s="4" t="s">
        <v>22</v>
      </c>
      <c r="G73" s="4" t="s">
        <v>23</v>
      </c>
      <c r="H73" s="5">
        <v>33594</v>
      </c>
      <c r="I73" s="4" t="str">
        <f t="shared" si="12"/>
        <v>dimanche</v>
      </c>
      <c r="J73" s="4" t="str">
        <f t="shared" si="13"/>
        <v>décembre</v>
      </c>
      <c r="K73" s="4">
        <f t="shared" si="14"/>
        <v>1991</v>
      </c>
      <c r="L73" s="4">
        <f t="shared" ca="1" si="15"/>
        <v>34</v>
      </c>
      <c r="M73" s="4">
        <v>3</v>
      </c>
      <c r="N73" s="4">
        <v>1354</v>
      </c>
      <c r="O73" s="13">
        <v>5.3</v>
      </c>
      <c r="P73" s="13">
        <v>5.5</v>
      </c>
      <c r="Q73" s="13">
        <f t="shared" si="16"/>
        <v>5.4</v>
      </c>
      <c r="R73" s="4" t="str">
        <f t="shared" si="17"/>
        <v>REUSSITE</v>
      </c>
    </row>
    <row r="74" spans="1:18" ht="20.100000000000001" customHeight="1" x14ac:dyDescent="0.3">
      <c r="A74" s="4" t="s">
        <v>18</v>
      </c>
      <c r="B74" s="4" t="s">
        <v>293</v>
      </c>
      <c r="C74" s="4" t="s">
        <v>294</v>
      </c>
      <c r="D74" s="4" t="s">
        <v>295</v>
      </c>
      <c r="E74" s="4">
        <v>37</v>
      </c>
      <c r="F74" s="4" t="s">
        <v>67</v>
      </c>
      <c r="G74" s="4" t="s">
        <v>100</v>
      </c>
      <c r="H74" s="5">
        <v>37347</v>
      </c>
      <c r="I74" s="4" t="str">
        <f t="shared" si="12"/>
        <v>lundi</v>
      </c>
      <c r="J74" s="4" t="str">
        <f t="shared" si="13"/>
        <v>avril</v>
      </c>
      <c r="K74" s="4">
        <f t="shared" si="14"/>
        <v>2002</v>
      </c>
      <c r="L74" s="4">
        <f t="shared" ca="1" si="15"/>
        <v>23</v>
      </c>
      <c r="M74" s="4">
        <v>3</v>
      </c>
      <c r="N74" s="4">
        <v>1395</v>
      </c>
      <c r="O74" s="13">
        <v>2.7</v>
      </c>
      <c r="P74" s="13">
        <v>5.0999999999999996</v>
      </c>
      <c r="Q74" s="13">
        <f t="shared" si="16"/>
        <v>3.9</v>
      </c>
      <c r="R74" s="4" t="str">
        <f t="shared" si="17"/>
        <v>ECHEC</v>
      </c>
    </row>
    <row r="75" spans="1:18" ht="20.100000000000001" customHeight="1" x14ac:dyDescent="0.3">
      <c r="A75" s="4" t="s">
        <v>12</v>
      </c>
      <c r="B75" s="4" t="s">
        <v>225</v>
      </c>
      <c r="C75" s="4" t="s">
        <v>226</v>
      </c>
      <c r="D75" s="4" t="s">
        <v>227</v>
      </c>
      <c r="E75" s="4">
        <v>34</v>
      </c>
      <c r="F75" s="4" t="s">
        <v>16</v>
      </c>
      <c r="G75" s="4" t="s">
        <v>125</v>
      </c>
      <c r="H75" s="5">
        <v>35400</v>
      </c>
      <c r="I75" s="4" t="str">
        <f t="shared" si="12"/>
        <v>dimanche</v>
      </c>
      <c r="J75" s="4" t="str">
        <f t="shared" si="13"/>
        <v>décembre</v>
      </c>
      <c r="K75" s="4">
        <f t="shared" si="14"/>
        <v>1996</v>
      </c>
      <c r="L75" s="4">
        <f t="shared" ca="1" si="15"/>
        <v>29</v>
      </c>
      <c r="M75" s="4">
        <v>2</v>
      </c>
      <c r="N75" s="4">
        <v>1110</v>
      </c>
      <c r="O75" s="13">
        <v>4</v>
      </c>
      <c r="P75" s="13">
        <v>5.4</v>
      </c>
      <c r="Q75" s="13">
        <f t="shared" si="16"/>
        <v>4.7</v>
      </c>
      <c r="R75" s="4" t="str">
        <f t="shared" si="17"/>
        <v>REUSSITE</v>
      </c>
    </row>
    <row r="76" spans="1:18" ht="20.100000000000001" customHeight="1" x14ac:dyDescent="0.3">
      <c r="A76" s="4" t="s">
        <v>18</v>
      </c>
      <c r="B76" s="4" t="s">
        <v>308</v>
      </c>
      <c r="C76" s="4" t="s">
        <v>309</v>
      </c>
      <c r="D76" s="4" t="s">
        <v>310</v>
      </c>
      <c r="E76" s="4">
        <v>44</v>
      </c>
      <c r="F76" s="4" t="s">
        <v>56</v>
      </c>
      <c r="G76" s="4" t="s">
        <v>52</v>
      </c>
      <c r="H76" s="5">
        <v>36344</v>
      </c>
      <c r="I76" s="4" t="str">
        <f t="shared" si="12"/>
        <v>samedi</v>
      </c>
      <c r="J76" s="4" t="str">
        <f t="shared" si="13"/>
        <v>juillet</v>
      </c>
      <c r="K76" s="4">
        <f t="shared" si="14"/>
        <v>1999</v>
      </c>
      <c r="L76" s="4">
        <f t="shared" ca="1" si="15"/>
        <v>26</v>
      </c>
      <c r="M76" s="4">
        <v>2</v>
      </c>
      <c r="N76" s="4">
        <v>1097</v>
      </c>
      <c r="O76" s="13">
        <v>3.6</v>
      </c>
      <c r="P76" s="13">
        <v>3.9</v>
      </c>
      <c r="Q76" s="13">
        <f t="shared" si="16"/>
        <v>3.75</v>
      </c>
      <c r="R76" s="4" t="str">
        <f t="shared" si="17"/>
        <v>ECHEC</v>
      </c>
    </row>
    <row r="77" spans="1:18" ht="20.100000000000001" customHeight="1" x14ac:dyDescent="0.3">
      <c r="A77" s="4" t="s">
        <v>18</v>
      </c>
      <c r="B77" s="4" t="s">
        <v>243</v>
      </c>
      <c r="C77" s="4" t="s">
        <v>244</v>
      </c>
      <c r="D77" s="4" t="s">
        <v>245</v>
      </c>
      <c r="E77" s="4">
        <v>30</v>
      </c>
      <c r="F77" s="4" t="s">
        <v>16</v>
      </c>
      <c r="G77" s="4" t="s">
        <v>17</v>
      </c>
      <c r="H77" s="5">
        <v>34136</v>
      </c>
      <c r="I77" s="4" t="str">
        <f t="shared" si="12"/>
        <v>mercredi</v>
      </c>
      <c r="J77" s="4" t="str">
        <f t="shared" si="13"/>
        <v>juin</v>
      </c>
      <c r="K77" s="4">
        <f t="shared" si="14"/>
        <v>1993</v>
      </c>
      <c r="L77" s="4">
        <f t="shared" ca="1" si="15"/>
        <v>32</v>
      </c>
      <c r="M77" s="4">
        <v>1</v>
      </c>
      <c r="N77" s="4">
        <v>791</v>
      </c>
      <c r="O77" s="13">
        <v>4.2</v>
      </c>
      <c r="P77" s="13">
        <v>4</v>
      </c>
      <c r="Q77" s="13">
        <f t="shared" si="16"/>
        <v>4.0999999999999996</v>
      </c>
      <c r="R77" s="4" t="str">
        <f t="shared" si="17"/>
        <v>REUSSITE</v>
      </c>
    </row>
    <row r="78" spans="1:18" ht="20.100000000000001" customHeight="1" x14ac:dyDescent="0.3">
      <c r="A78" s="4" t="s">
        <v>18</v>
      </c>
      <c r="B78" s="4" t="s">
        <v>190</v>
      </c>
      <c r="C78" s="4" t="s">
        <v>191</v>
      </c>
      <c r="D78" s="4" t="s">
        <v>192</v>
      </c>
      <c r="E78" s="4">
        <v>23</v>
      </c>
      <c r="F78" s="4" t="s">
        <v>16</v>
      </c>
      <c r="G78" s="4" t="s">
        <v>44</v>
      </c>
      <c r="H78" s="5">
        <v>34342</v>
      </c>
      <c r="I78" s="4" t="str">
        <f t="shared" si="12"/>
        <v>samedi</v>
      </c>
      <c r="J78" s="4" t="str">
        <f t="shared" si="13"/>
        <v>janvier</v>
      </c>
      <c r="K78" s="4">
        <f t="shared" si="14"/>
        <v>1994</v>
      </c>
      <c r="L78" s="4">
        <f t="shared" ca="1" si="15"/>
        <v>31</v>
      </c>
      <c r="M78" s="4">
        <v>2</v>
      </c>
      <c r="N78" s="4">
        <v>1217</v>
      </c>
      <c r="O78" s="13">
        <v>4.9000000000000004</v>
      </c>
      <c r="P78" s="13">
        <v>4.9000000000000004</v>
      </c>
      <c r="Q78" s="13">
        <f t="shared" si="16"/>
        <v>4.9000000000000004</v>
      </c>
      <c r="R78" s="4" t="str">
        <f t="shared" si="17"/>
        <v>REUSSITE</v>
      </c>
    </row>
    <row r="79" spans="1:18" ht="20.100000000000001" customHeight="1" x14ac:dyDescent="0.3">
      <c r="A79" s="4" t="s">
        <v>18</v>
      </c>
      <c r="B79" s="4" t="s">
        <v>168</v>
      </c>
      <c r="C79" s="4" t="s">
        <v>169</v>
      </c>
      <c r="D79" s="4" t="s">
        <v>170</v>
      </c>
      <c r="E79" s="4">
        <v>18</v>
      </c>
      <c r="F79" s="4" t="s">
        <v>22</v>
      </c>
      <c r="G79" s="4" t="s">
        <v>125</v>
      </c>
      <c r="H79" s="5">
        <v>37342</v>
      </c>
      <c r="I79" s="4" t="str">
        <f t="shared" si="12"/>
        <v>mercredi</v>
      </c>
      <c r="J79" s="4" t="str">
        <f t="shared" si="13"/>
        <v>mars</v>
      </c>
      <c r="K79" s="4">
        <f t="shared" si="14"/>
        <v>2002</v>
      </c>
      <c r="L79" s="4">
        <f t="shared" ca="1" si="15"/>
        <v>23</v>
      </c>
      <c r="M79" s="4">
        <v>2</v>
      </c>
      <c r="N79" s="4">
        <v>1038</v>
      </c>
      <c r="O79" s="13">
        <v>3.8</v>
      </c>
      <c r="P79" s="13">
        <v>4</v>
      </c>
      <c r="Q79" s="13">
        <f t="shared" si="16"/>
        <v>3.9</v>
      </c>
      <c r="R79" s="4" t="str">
        <f t="shared" si="17"/>
        <v>ECHEC</v>
      </c>
    </row>
    <row r="80" spans="1:18" ht="20.100000000000001" customHeight="1" x14ac:dyDescent="0.3">
      <c r="A80" s="4" t="s">
        <v>12</v>
      </c>
      <c r="B80" s="4" t="s">
        <v>265</v>
      </c>
      <c r="C80" s="4" t="s">
        <v>266</v>
      </c>
      <c r="D80" s="4" t="s">
        <v>267</v>
      </c>
      <c r="E80" s="4">
        <v>27</v>
      </c>
      <c r="F80" s="4" t="s">
        <v>56</v>
      </c>
      <c r="G80" s="4" t="s">
        <v>48</v>
      </c>
      <c r="H80" s="5">
        <v>35043</v>
      </c>
      <c r="I80" s="4" t="str">
        <f t="shared" si="12"/>
        <v>dimanche</v>
      </c>
      <c r="J80" s="4" t="str">
        <f t="shared" si="13"/>
        <v>décembre</v>
      </c>
      <c r="K80" s="4">
        <f t="shared" si="14"/>
        <v>1995</v>
      </c>
      <c r="L80" s="4">
        <f t="shared" ca="1" si="15"/>
        <v>30</v>
      </c>
      <c r="M80" s="4">
        <v>1</v>
      </c>
      <c r="N80" s="4">
        <v>723</v>
      </c>
      <c r="O80" s="13">
        <v>4.5999999999999996</v>
      </c>
      <c r="P80" s="13">
        <v>5.7</v>
      </c>
      <c r="Q80" s="13">
        <f t="shared" si="16"/>
        <v>5.15</v>
      </c>
      <c r="R80" s="4" t="str">
        <f t="shared" si="17"/>
        <v>REUSSITE</v>
      </c>
    </row>
    <row r="81" spans="1:18" ht="20.100000000000001" customHeight="1" x14ac:dyDescent="0.3">
      <c r="A81" s="4" t="s">
        <v>12</v>
      </c>
      <c r="B81" s="4" t="s">
        <v>40</v>
      </c>
      <c r="C81" s="4" t="s">
        <v>41</v>
      </c>
      <c r="D81" s="4" t="s">
        <v>42</v>
      </c>
      <c r="E81" s="4">
        <v>4</v>
      </c>
      <c r="F81" s="4" t="s">
        <v>43</v>
      </c>
      <c r="G81" s="4" t="s">
        <v>44</v>
      </c>
      <c r="H81" s="5">
        <v>36488</v>
      </c>
      <c r="I81" s="4" t="str">
        <f t="shared" si="12"/>
        <v>mercredi</v>
      </c>
      <c r="J81" s="4" t="str">
        <f t="shared" si="13"/>
        <v>novembre</v>
      </c>
      <c r="K81" s="4">
        <f t="shared" si="14"/>
        <v>1999</v>
      </c>
      <c r="L81" s="4">
        <f t="shared" ca="1" si="15"/>
        <v>26</v>
      </c>
      <c r="M81" s="4">
        <v>4</v>
      </c>
      <c r="N81" s="4">
        <v>1586</v>
      </c>
      <c r="O81" s="13">
        <v>5.4</v>
      </c>
      <c r="P81" s="13">
        <v>4.9000000000000004</v>
      </c>
      <c r="Q81" s="13">
        <f t="shared" si="16"/>
        <v>5.15</v>
      </c>
      <c r="R81" s="4" t="str">
        <f t="shared" si="17"/>
        <v>REUSSITE</v>
      </c>
    </row>
    <row r="82" spans="1:18" ht="20.100000000000001" customHeight="1" x14ac:dyDescent="0.3">
      <c r="A82" s="4" t="s">
        <v>18</v>
      </c>
      <c r="B82" s="4" t="s">
        <v>201</v>
      </c>
      <c r="C82" s="4" t="s">
        <v>202</v>
      </c>
      <c r="D82" s="4" t="s">
        <v>203</v>
      </c>
      <c r="E82" s="4">
        <v>30</v>
      </c>
      <c r="F82" s="4" t="s">
        <v>22</v>
      </c>
      <c r="G82" s="4" t="s">
        <v>74</v>
      </c>
      <c r="H82" s="5">
        <v>37315</v>
      </c>
      <c r="I82" s="4" t="str">
        <f t="shared" si="12"/>
        <v>jeudi</v>
      </c>
      <c r="J82" s="4" t="str">
        <f t="shared" si="13"/>
        <v>février</v>
      </c>
      <c r="K82" s="4">
        <f t="shared" si="14"/>
        <v>2002</v>
      </c>
      <c r="L82" s="4">
        <f t="shared" ca="1" si="15"/>
        <v>23</v>
      </c>
      <c r="M82" s="4">
        <v>1</v>
      </c>
      <c r="N82" s="4">
        <v>732</v>
      </c>
      <c r="O82" s="13">
        <v>4.5</v>
      </c>
      <c r="P82" s="13">
        <v>4.2</v>
      </c>
      <c r="Q82" s="13">
        <f t="shared" si="16"/>
        <v>4.3499999999999996</v>
      </c>
      <c r="R82" s="4" t="str">
        <f t="shared" si="17"/>
        <v>REUSSITE</v>
      </c>
    </row>
    <row r="83" spans="1:18" ht="20.100000000000001" customHeight="1" x14ac:dyDescent="0.3">
      <c r="A83" s="4" t="s">
        <v>18</v>
      </c>
      <c r="B83" s="4" t="s">
        <v>150</v>
      </c>
      <c r="C83" s="4" t="s">
        <v>151</v>
      </c>
      <c r="D83" s="4" t="s">
        <v>152</v>
      </c>
      <c r="E83" s="4">
        <v>39</v>
      </c>
      <c r="F83" s="4" t="s">
        <v>27</v>
      </c>
      <c r="G83" s="4" t="s">
        <v>44</v>
      </c>
      <c r="H83" s="5">
        <v>36240</v>
      </c>
      <c r="I83" s="4" t="str">
        <f t="shared" si="12"/>
        <v>dimanche</v>
      </c>
      <c r="J83" s="4" t="str">
        <f t="shared" si="13"/>
        <v>mars</v>
      </c>
      <c r="K83" s="4">
        <f t="shared" si="14"/>
        <v>1999</v>
      </c>
      <c r="L83" s="4">
        <f t="shared" ca="1" si="15"/>
        <v>26</v>
      </c>
      <c r="M83" s="4">
        <v>3</v>
      </c>
      <c r="N83" s="4">
        <v>1364</v>
      </c>
      <c r="O83" s="13">
        <v>5.6</v>
      </c>
      <c r="P83" s="13">
        <v>4.7</v>
      </c>
      <c r="Q83" s="13">
        <f t="shared" si="16"/>
        <v>5.15</v>
      </c>
      <c r="R83" s="4" t="str">
        <f t="shared" si="17"/>
        <v>REUSSITE</v>
      </c>
    </row>
    <row r="84" spans="1:18" ht="20.100000000000001" customHeight="1" x14ac:dyDescent="0.3">
      <c r="A84" s="4" t="s">
        <v>18</v>
      </c>
      <c r="B84" s="4" t="s">
        <v>182</v>
      </c>
      <c r="C84" s="4" t="s">
        <v>183</v>
      </c>
      <c r="D84" s="4" t="s">
        <v>184</v>
      </c>
      <c r="E84" s="4">
        <v>17</v>
      </c>
      <c r="F84" s="4" t="s">
        <v>39</v>
      </c>
      <c r="G84" s="4" t="s">
        <v>44</v>
      </c>
      <c r="H84" s="5">
        <v>36812</v>
      </c>
      <c r="I84" s="4" t="str">
        <f t="shared" si="12"/>
        <v>vendredi</v>
      </c>
      <c r="J84" s="4" t="str">
        <f t="shared" si="13"/>
        <v>octobre</v>
      </c>
      <c r="K84" s="4">
        <f t="shared" si="14"/>
        <v>2000</v>
      </c>
      <c r="L84" s="4">
        <f t="shared" ca="1" si="15"/>
        <v>25</v>
      </c>
      <c r="M84" s="4">
        <v>1</v>
      </c>
      <c r="N84" s="4">
        <v>702</v>
      </c>
      <c r="O84" s="13">
        <v>5.7</v>
      </c>
      <c r="P84" s="13">
        <v>4.2</v>
      </c>
      <c r="Q84" s="13">
        <f t="shared" si="16"/>
        <v>4.95</v>
      </c>
      <c r="R84" s="4" t="str">
        <f t="shared" si="17"/>
        <v>REUSSITE</v>
      </c>
    </row>
    <row r="85" spans="1:18" ht="20.100000000000001" customHeight="1" x14ac:dyDescent="0.3">
      <c r="A85" s="4" t="s">
        <v>18</v>
      </c>
      <c r="B85" s="4" t="s">
        <v>75</v>
      </c>
      <c r="C85" s="4" t="s">
        <v>76</v>
      </c>
      <c r="D85" s="4" t="s">
        <v>77</v>
      </c>
      <c r="E85" s="4">
        <v>46</v>
      </c>
      <c r="F85" s="4" t="s">
        <v>43</v>
      </c>
      <c r="G85" s="4" t="s">
        <v>74</v>
      </c>
      <c r="H85" s="5">
        <v>33619</v>
      </c>
      <c r="I85" s="4" t="str">
        <f t="shared" si="12"/>
        <v>jeudi</v>
      </c>
      <c r="J85" s="4" t="str">
        <f t="shared" si="13"/>
        <v>janvier</v>
      </c>
      <c r="K85" s="4">
        <f t="shared" si="14"/>
        <v>1992</v>
      </c>
      <c r="L85" s="4">
        <f t="shared" ca="1" si="15"/>
        <v>33</v>
      </c>
      <c r="M85" s="4">
        <v>3</v>
      </c>
      <c r="N85" s="4">
        <v>1245</v>
      </c>
      <c r="O85" s="13">
        <v>4.9000000000000004</v>
      </c>
      <c r="P85" s="13">
        <v>5.2</v>
      </c>
      <c r="Q85" s="13">
        <f t="shared" si="16"/>
        <v>5.0500000000000007</v>
      </c>
      <c r="R85" s="4" t="str">
        <f t="shared" si="17"/>
        <v>REUSSITE</v>
      </c>
    </row>
    <row r="86" spans="1:18" ht="20.100000000000001" customHeight="1" x14ac:dyDescent="0.3">
      <c r="A86" s="4" t="s">
        <v>12</v>
      </c>
      <c r="B86" s="4" t="s">
        <v>88</v>
      </c>
      <c r="C86" s="4" t="s">
        <v>89</v>
      </c>
      <c r="D86" s="4" t="s">
        <v>90</v>
      </c>
      <c r="E86" s="4">
        <v>12</v>
      </c>
      <c r="F86" s="4" t="s">
        <v>43</v>
      </c>
      <c r="G86" s="4" t="s">
        <v>32</v>
      </c>
      <c r="H86" s="5">
        <v>33421</v>
      </c>
      <c r="I86" s="4" t="str">
        <f t="shared" si="12"/>
        <v>mardi</v>
      </c>
      <c r="J86" s="4" t="str">
        <f t="shared" si="13"/>
        <v>juillet</v>
      </c>
      <c r="K86" s="4">
        <f t="shared" si="14"/>
        <v>1991</v>
      </c>
      <c r="L86" s="4">
        <f t="shared" ca="1" si="15"/>
        <v>34</v>
      </c>
      <c r="M86" s="4">
        <v>3</v>
      </c>
      <c r="N86" s="4">
        <v>1414</v>
      </c>
      <c r="O86" s="13">
        <v>5.7</v>
      </c>
      <c r="P86" s="13">
        <v>3.7</v>
      </c>
      <c r="Q86" s="13">
        <f t="shared" si="16"/>
        <v>4.7</v>
      </c>
      <c r="R86" s="4" t="str">
        <f t="shared" si="17"/>
        <v>REUSSITE</v>
      </c>
    </row>
    <row r="87" spans="1:18" ht="20.100000000000001" customHeight="1" x14ac:dyDescent="0.3">
      <c r="A87" s="4" t="s">
        <v>18</v>
      </c>
      <c r="B87" s="4" t="s">
        <v>302</v>
      </c>
      <c r="C87" s="4" t="s">
        <v>303</v>
      </c>
      <c r="D87" s="4" t="s">
        <v>304</v>
      </c>
      <c r="E87" s="4">
        <v>41</v>
      </c>
      <c r="F87" s="4" t="s">
        <v>63</v>
      </c>
      <c r="G87" s="4" t="s">
        <v>32</v>
      </c>
      <c r="H87" s="5">
        <v>33564</v>
      </c>
      <c r="I87" s="4" t="str">
        <f t="shared" si="12"/>
        <v>vendredi</v>
      </c>
      <c r="J87" s="4" t="str">
        <f t="shared" si="13"/>
        <v>novembre</v>
      </c>
      <c r="K87" s="4">
        <f t="shared" si="14"/>
        <v>1991</v>
      </c>
      <c r="L87" s="4">
        <f t="shared" ca="1" si="15"/>
        <v>34</v>
      </c>
      <c r="M87" s="4">
        <v>3</v>
      </c>
      <c r="N87" s="4">
        <v>1384</v>
      </c>
      <c r="O87" s="13">
        <v>3.9</v>
      </c>
      <c r="P87" s="13">
        <v>3.5</v>
      </c>
      <c r="Q87" s="13">
        <f t="shared" si="16"/>
        <v>3.7</v>
      </c>
      <c r="R87" s="4" t="str">
        <f t="shared" si="17"/>
        <v>ECHEC</v>
      </c>
    </row>
    <row r="88" spans="1:18" ht="20.100000000000001" customHeight="1" x14ac:dyDescent="0.3">
      <c r="A88" s="4" t="s">
        <v>18</v>
      </c>
      <c r="B88" s="4" t="s">
        <v>153</v>
      </c>
      <c r="C88" s="4" t="s">
        <v>154</v>
      </c>
      <c r="D88" s="4" t="s">
        <v>155</v>
      </c>
      <c r="E88" s="4">
        <v>10</v>
      </c>
      <c r="F88" s="4" t="s">
        <v>43</v>
      </c>
      <c r="G88" s="4" t="s">
        <v>100</v>
      </c>
      <c r="H88" s="5">
        <v>35973</v>
      </c>
      <c r="I88" s="4" t="str">
        <f t="shared" si="12"/>
        <v>samedi</v>
      </c>
      <c r="J88" s="4" t="str">
        <f t="shared" si="13"/>
        <v>juin</v>
      </c>
      <c r="K88" s="4">
        <f t="shared" si="14"/>
        <v>1998</v>
      </c>
      <c r="L88" s="4">
        <f t="shared" ca="1" si="15"/>
        <v>27</v>
      </c>
      <c r="M88" s="4">
        <v>1</v>
      </c>
      <c r="N88" s="4">
        <v>788</v>
      </c>
      <c r="O88" s="13">
        <v>3.2</v>
      </c>
      <c r="P88" s="13">
        <v>5.6</v>
      </c>
      <c r="Q88" s="13">
        <f t="shared" si="16"/>
        <v>4.4000000000000004</v>
      </c>
      <c r="R88" s="4" t="str">
        <f t="shared" si="17"/>
        <v>REUSSITE</v>
      </c>
    </row>
    <row r="89" spans="1:18" ht="20.100000000000001" customHeight="1" x14ac:dyDescent="0.3">
      <c r="A89" s="4" t="s">
        <v>12</v>
      </c>
      <c r="B89" s="4" t="s">
        <v>49</v>
      </c>
      <c r="C89" s="4" t="s">
        <v>50</v>
      </c>
      <c r="D89" s="4" t="s">
        <v>51</v>
      </c>
      <c r="E89" s="4">
        <v>9</v>
      </c>
      <c r="F89" s="4" t="s">
        <v>27</v>
      </c>
      <c r="G89" s="4" t="s">
        <v>52</v>
      </c>
      <c r="H89" s="5">
        <v>36997</v>
      </c>
      <c r="I89" s="4" t="str">
        <f t="shared" si="12"/>
        <v>lundi</v>
      </c>
      <c r="J89" s="4" t="str">
        <f t="shared" si="13"/>
        <v>avril</v>
      </c>
      <c r="K89" s="4">
        <f t="shared" si="14"/>
        <v>2001</v>
      </c>
      <c r="L89" s="4">
        <f t="shared" ca="1" si="15"/>
        <v>24</v>
      </c>
      <c r="M89" s="4">
        <v>1</v>
      </c>
      <c r="N89" s="4">
        <v>761</v>
      </c>
      <c r="O89" s="13">
        <v>2.5</v>
      </c>
      <c r="P89" s="13">
        <v>4.7</v>
      </c>
      <c r="Q89" s="13">
        <f t="shared" si="16"/>
        <v>3.6</v>
      </c>
      <c r="R89" s="4" t="str">
        <f t="shared" si="17"/>
        <v>ECHEC</v>
      </c>
    </row>
    <row r="90" spans="1:18" ht="20.100000000000001" customHeight="1" x14ac:dyDescent="0.3">
      <c r="A90" s="4" t="s">
        <v>12</v>
      </c>
      <c r="B90" s="4" t="s">
        <v>211</v>
      </c>
      <c r="C90" s="4" t="s">
        <v>212</v>
      </c>
      <c r="D90" s="4" t="s">
        <v>213</v>
      </c>
      <c r="E90" s="4">
        <v>47</v>
      </c>
      <c r="F90" s="4" t="s">
        <v>43</v>
      </c>
      <c r="G90" s="4" t="s">
        <v>52</v>
      </c>
      <c r="H90" s="5">
        <v>35742</v>
      </c>
      <c r="I90" s="4" t="str">
        <f t="shared" si="12"/>
        <v>samedi</v>
      </c>
      <c r="J90" s="4" t="str">
        <f t="shared" si="13"/>
        <v>novembre</v>
      </c>
      <c r="K90" s="4">
        <f t="shared" si="14"/>
        <v>1997</v>
      </c>
      <c r="L90" s="4">
        <f t="shared" ca="1" si="15"/>
        <v>28</v>
      </c>
      <c r="M90" s="4">
        <v>3</v>
      </c>
      <c r="N90" s="4">
        <v>1303</v>
      </c>
      <c r="O90" s="13">
        <v>3</v>
      </c>
      <c r="P90" s="13">
        <v>5.2</v>
      </c>
      <c r="Q90" s="13">
        <f t="shared" si="16"/>
        <v>4.0999999999999996</v>
      </c>
      <c r="R90" s="4" t="str">
        <f t="shared" si="17"/>
        <v>REUSSITE</v>
      </c>
    </row>
    <row r="91" spans="1:18" ht="20.100000000000001" customHeight="1" x14ac:dyDescent="0.3">
      <c r="A91" s="4" t="s">
        <v>12</v>
      </c>
      <c r="B91" s="4" t="s">
        <v>237</v>
      </c>
      <c r="C91" s="4" t="s">
        <v>238</v>
      </c>
      <c r="D91" s="4" t="s">
        <v>239</v>
      </c>
      <c r="E91" s="4">
        <v>33</v>
      </c>
      <c r="F91" s="4" t="s">
        <v>63</v>
      </c>
      <c r="G91" s="4" t="s">
        <v>17</v>
      </c>
      <c r="H91" s="5">
        <v>36829</v>
      </c>
      <c r="I91" s="4" t="str">
        <f t="shared" si="12"/>
        <v>lundi</v>
      </c>
      <c r="J91" s="4" t="str">
        <f t="shared" si="13"/>
        <v>octobre</v>
      </c>
      <c r="K91" s="4">
        <f t="shared" si="14"/>
        <v>2000</v>
      </c>
      <c r="L91" s="4">
        <f t="shared" ca="1" si="15"/>
        <v>25</v>
      </c>
      <c r="M91" s="4">
        <v>3</v>
      </c>
      <c r="N91" s="4">
        <v>1342</v>
      </c>
      <c r="O91" s="13">
        <v>2.9</v>
      </c>
      <c r="P91" s="13">
        <v>3.7</v>
      </c>
      <c r="Q91" s="13">
        <f t="shared" si="16"/>
        <v>3.3</v>
      </c>
      <c r="R91" s="4" t="str">
        <f t="shared" si="17"/>
        <v>ECHEC</v>
      </c>
    </row>
    <row r="92" spans="1:18" ht="20.100000000000001" customHeight="1" x14ac:dyDescent="0.3">
      <c r="A92" s="4" t="s">
        <v>12</v>
      </c>
      <c r="B92" s="4" t="s">
        <v>193</v>
      </c>
      <c r="C92" s="4" t="s">
        <v>194</v>
      </c>
      <c r="D92" s="4" t="s">
        <v>195</v>
      </c>
      <c r="E92" s="4">
        <v>19</v>
      </c>
      <c r="F92" s="4" t="s">
        <v>27</v>
      </c>
      <c r="G92" s="4" t="s">
        <v>23</v>
      </c>
      <c r="H92" s="5">
        <v>36938</v>
      </c>
      <c r="I92" s="4" t="str">
        <f t="shared" si="12"/>
        <v>vendredi</v>
      </c>
      <c r="J92" s="4" t="str">
        <f t="shared" si="13"/>
        <v>février</v>
      </c>
      <c r="K92" s="4">
        <f t="shared" si="14"/>
        <v>2001</v>
      </c>
      <c r="L92" s="4">
        <f t="shared" ca="1" si="15"/>
        <v>24</v>
      </c>
      <c r="M92" s="4">
        <v>1</v>
      </c>
      <c r="N92" s="4">
        <v>725</v>
      </c>
      <c r="O92" s="13">
        <v>5.6</v>
      </c>
      <c r="P92" s="13">
        <v>5.3</v>
      </c>
      <c r="Q92" s="13">
        <f t="shared" si="16"/>
        <v>5.4499999999999993</v>
      </c>
      <c r="R92" s="4" t="str">
        <f t="shared" si="17"/>
        <v>REUSSITE</v>
      </c>
    </row>
    <row r="93" spans="1:18" ht="20.100000000000001" customHeight="1" x14ac:dyDescent="0.3">
      <c r="A93" s="4" t="s">
        <v>18</v>
      </c>
      <c r="B93" s="4" t="s">
        <v>78</v>
      </c>
      <c r="C93" s="4" t="s">
        <v>79</v>
      </c>
      <c r="D93" s="4" t="s">
        <v>80</v>
      </c>
      <c r="E93" s="4">
        <v>23</v>
      </c>
      <c r="F93" s="4" t="s">
        <v>16</v>
      </c>
      <c r="G93" s="4" t="s">
        <v>74</v>
      </c>
      <c r="H93" s="5">
        <v>34873</v>
      </c>
      <c r="I93" s="4" t="str">
        <f t="shared" si="12"/>
        <v>vendredi</v>
      </c>
      <c r="J93" s="4" t="str">
        <f t="shared" si="13"/>
        <v>juin</v>
      </c>
      <c r="K93" s="4">
        <f t="shared" si="14"/>
        <v>1995</v>
      </c>
      <c r="L93" s="4">
        <f t="shared" ca="1" si="15"/>
        <v>30</v>
      </c>
      <c r="M93" s="4">
        <v>3</v>
      </c>
      <c r="N93" s="4">
        <v>1448</v>
      </c>
      <c r="O93" s="13">
        <v>2.5</v>
      </c>
      <c r="P93" s="13">
        <v>4.4000000000000004</v>
      </c>
      <c r="Q93" s="13">
        <f t="shared" si="16"/>
        <v>3.45</v>
      </c>
      <c r="R93" s="4" t="str">
        <f t="shared" si="17"/>
        <v>ECHEC</v>
      </c>
    </row>
    <row r="94" spans="1:18" ht="20.100000000000001" customHeight="1" x14ac:dyDescent="0.3">
      <c r="A94" s="4" t="s">
        <v>18</v>
      </c>
      <c r="B94" s="4" t="s">
        <v>94</v>
      </c>
      <c r="C94" s="4" t="s">
        <v>95</v>
      </c>
      <c r="D94" s="4" t="s">
        <v>96</v>
      </c>
      <c r="E94" s="4">
        <v>3</v>
      </c>
      <c r="F94" s="4" t="s">
        <v>56</v>
      </c>
      <c r="G94" s="4" t="s">
        <v>17</v>
      </c>
      <c r="H94" s="5">
        <v>33565</v>
      </c>
      <c r="I94" s="4" t="str">
        <f t="shared" si="12"/>
        <v>samedi</v>
      </c>
      <c r="J94" s="4" t="str">
        <f t="shared" si="13"/>
        <v>novembre</v>
      </c>
      <c r="K94" s="4">
        <f t="shared" si="14"/>
        <v>1991</v>
      </c>
      <c r="L94" s="4">
        <f t="shared" ca="1" si="15"/>
        <v>34</v>
      </c>
      <c r="M94" s="4">
        <v>3</v>
      </c>
      <c r="N94" s="4">
        <v>1268</v>
      </c>
      <c r="O94" s="13">
        <v>2.5</v>
      </c>
      <c r="P94" s="13">
        <v>4.0999999999999996</v>
      </c>
      <c r="Q94" s="13">
        <f t="shared" si="16"/>
        <v>3.3</v>
      </c>
      <c r="R94" s="4" t="str">
        <f t="shared" si="17"/>
        <v>ECHEC</v>
      </c>
    </row>
    <row r="95" spans="1:18" ht="20.100000000000001" customHeight="1" x14ac:dyDescent="0.3">
      <c r="A95" s="4" t="s">
        <v>18</v>
      </c>
      <c r="B95" s="4" t="s">
        <v>129</v>
      </c>
      <c r="C95" s="4" t="s">
        <v>130</v>
      </c>
      <c r="D95" s="4" t="s">
        <v>131</v>
      </c>
      <c r="E95" s="4">
        <v>33</v>
      </c>
      <c r="F95" s="4" t="s">
        <v>27</v>
      </c>
      <c r="G95" s="4" t="s">
        <v>48</v>
      </c>
      <c r="H95" s="5">
        <v>35596</v>
      </c>
      <c r="I95" s="4" t="str">
        <f t="shared" si="12"/>
        <v>dimanche</v>
      </c>
      <c r="J95" s="4" t="str">
        <f t="shared" si="13"/>
        <v>juin</v>
      </c>
      <c r="K95" s="4">
        <f t="shared" si="14"/>
        <v>1997</v>
      </c>
      <c r="L95" s="4">
        <f t="shared" ca="1" si="15"/>
        <v>28</v>
      </c>
      <c r="M95" s="4">
        <v>1</v>
      </c>
      <c r="N95" s="4">
        <v>728</v>
      </c>
      <c r="O95" s="13">
        <v>4.7</v>
      </c>
      <c r="P95" s="13">
        <v>3.9</v>
      </c>
      <c r="Q95" s="13">
        <f t="shared" si="16"/>
        <v>4.3</v>
      </c>
      <c r="R95" s="4" t="str">
        <f t="shared" si="17"/>
        <v>REUSSITE</v>
      </c>
    </row>
    <row r="96" spans="1:18" ht="20.100000000000001" customHeight="1" x14ac:dyDescent="0.3">
      <c r="A96" s="4" t="s">
        <v>18</v>
      </c>
      <c r="B96" s="4" t="s">
        <v>271</v>
      </c>
      <c r="C96" s="4" t="s">
        <v>272</v>
      </c>
      <c r="D96" s="4" t="s">
        <v>273</v>
      </c>
      <c r="E96" s="4">
        <v>47</v>
      </c>
      <c r="F96" s="4" t="s">
        <v>56</v>
      </c>
      <c r="G96" s="4" t="s">
        <v>32</v>
      </c>
      <c r="H96" s="5">
        <v>34782</v>
      </c>
      <c r="I96" s="4" t="str">
        <f t="shared" si="12"/>
        <v>vendredi</v>
      </c>
      <c r="J96" s="4" t="str">
        <f t="shared" si="13"/>
        <v>mars</v>
      </c>
      <c r="K96" s="4">
        <f t="shared" si="14"/>
        <v>1995</v>
      </c>
      <c r="L96" s="4">
        <f t="shared" ca="1" si="15"/>
        <v>30</v>
      </c>
      <c r="M96" s="4">
        <v>1</v>
      </c>
      <c r="N96" s="4">
        <v>736</v>
      </c>
      <c r="O96" s="13">
        <v>2.7</v>
      </c>
      <c r="P96" s="13">
        <v>5.8</v>
      </c>
      <c r="Q96" s="13">
        <f t="shared" si="16"/>
        <v>4.25</v>
      </c>
      <c r="R96" s="4" t="str">
        <f t="shared" si="17"/>
        <v>REUSSITE</v>
      </c>
    </row>
    <row r="97" spans="1:18" ht="20.100000000000001" customHeight="1" x14ac:dyDescent="0.3">
      <c r="A97" s="4" t="s">
        <v>18</v>
      </c>
      <c r="B97" s="4" t="s">
        <v>135</v>
      </c>
      <c r="C97" s="4" t="s">
        <v>136</v>
      </c>
      <c r="D97" s="4" t="s">
        <v>137</v>
      </c>
      <c r="E97" s="4">
        <v>14</v>
      </c>
      <c r="F97" s="4" t="s">
        <v>27</v>
      </c>
      <c r="G97" s="4" t="s">
        <v>32</v>
      </c>
      <c r="H97" s="5">
        <v>35263</v>
      </c>
      <c r="I97" s="4" t="str">
        <f t="shared" si="12"/>
        <v>mercredi</v>
      </c>
      <c r="J97" s="4" t="str">
        <f t="shared" si="13"/>
        <v>juillet</v>
      </c>
      <c r="K97" s="4">
        <f t="shared" si="14"/>
        <v>1996</v>
      </c>
      <c r="L97" s="4">
        <f t="shared" ca="1" si="15"/>
        <v>29</v>
      </c>
      <c r="M97" s="4">
        <v>2</v>
      </c>
      <c r="N97" s="4">
        <v>1246</v>
      </c>
      <c r="O97" s="13">
        <v>2.6</v>
      </c>
      <c r="P97" s="13">
        <v>3.6</v>
      </c>
      <c r="Q97" s="13">
        <f t="shared" si="16"/>
        <v>3.1</v>
      </c>
      <c r="R97" s="4" t="str">
        <f t="shared" si="17"/>
        <v>ECHEC</v>
      </c>
    </row>
    <row r="98" spans="1:18" ht="20.100000000000001" customHeight="1" x14ac:dyDescent="0.3">
      <c r="A98" s="4" t="s">
        <v>12</v>
      </c>
      <c r="B98" s="4" t="s">
        <v>234</v>
      </c>
      <c r="C98" s="4" t="s">
        <v>235</v>
      </c>
      <c r="D98" s="4" t="s">
        <v>236</v>
      </c>
      <c r="E98" s="4">
        <v>44</v>
      </c>
      <c r="F98" s="4" t="s">
        <v>43</v>
      </c>
      <c r="G98" s="4" t="s">
        <v>44</v>
      </c>
      <c r="H98" s="5">
        <v>37141</v>
      </c>
      <c r="I98" s="4" t="str">
        <f t="shared" ref="I98:I129" si="18">TEXT(H98,"jjjj")</f>
        <v>vendredi</v>
      </c>
      <c r="J98" s="4" t="str">
        <f t="shared" si="13"/>
        <v>septembre</v>
      </c>
      <c r="K98" s="4">
        <f t="shared" si="14"/>
        <v>2001</v>
      </c>
      <c r="L98" s="4">
        <f t="shared" ref="L98:L129" ca="1" si="19">YEAR(TODAY())-K98</f>
        <v>24</v>
      </c>
      <c r="M98" s="4">
        <v>4</v>
      </c>
      <c r="N98" s="4">
        <v>1888</v>
      </c>
      <c r="O98" s="13">
        <v>4.5999999999999996</v>
      </c>
      <c r="P98" s="13">
        <v>4.2</v>
      </c>
      <c r="Q98" s="13">
        <f t="shared" ref="Q98:Q129" si="20">AVERAGE(O98,P98)</f>
        <v>4.4000000000000004</v>
      </c>
      <c r="R98" s="4" t="str">
        <f t="shared" ref="R98:R129" si="21">IF(Q98&lt;4,"ECHEC","REUSSITE")</f>
        <v>REUSSITE</v>
      </c>
    </row>
    <row r="99" spans="1:18" ht="20.100000000000001" customHeight="1" x14ac:dyDescent="0.3">
      <c r="A99" s="4" t="s">
        <v>18</v>
      </c>
      <c r="B99" s="4" t="s">
        <v>24</v>
      </c>
      <c r="C99" s="4" t="s">
        <v>25</v>
      </c>
      <c r="D99" s="4" t="s">
        <v>26</v>
      </c>
      <c r="E99" s="4">
        <v>49</v>
      </c>
      <c r="F99" s="4" t="s">
        <v>27</v>
      </c>
      <c r="G99" s="4" t="s">
        <v>28</v>
      </c>
      <c r="H99" s="5">
        <v>35624</v>
      </c>
      <c r="I99" s="4" t="str">
        <f t="shared" si="18"/>
        <v>dimanche</v>
      </c>
      <c r="J99" s="4" t="str">
        <f t="shared" si="13"/>
        <v>juillet</v>
      </c>
      <c r="K99" s="4">
        <f t="shared" si="14"/>
        <v>1997</v>
      </c>
      <c r="L99" s="4">
        <f t="shared" ca="1" si="19"/>
        <v>28</v>
      </c>
      <c r="M99" s="4">
        <v>4</v>
      </c>
      <c r="N99" s="4">
        <v>1773</v>
      </c>
      <c r="O99" s="13">
        <v>3.3</v>
      </c>
      <c r="P99" s="13">
        <v>3.8</v>
      </c>
      <c r="Q99" s="13">
        <f t="shared" si="20"/>
        <v>3.55</v>
      </c>
      <c r="R99" s="4" t="str">
        <f t="shared" si="21"/>
        <v>ECHEC</v>
      </c>
    </row>
    <row r="100" spans="1:18" ht="20.100000000000001" customHeight="1" x14ac:dyDescent="0.3">
      <c r="A100" s="4" t="s">
        <v>18</v>
      </c>
      <c r="B100" s="4" t="s">
        <v>180</v>
      </c>
      <c r="C100" s="4" t="s">
        <v>151</v>
      </c>
      <c r="D100" s="4" t="s">
        <v>181</v>
      </c>
      <c r="E100" s="4">
        <v>47</v>
      </c>
      <c r="F100" s="4" t="s">
        <v>63</v>
      </c>
      <c r="G100" s="4" t="s">
        <v>87</v>
      </c>
      <c r="H100" s="5">
        <v>35258</v>
      </c>
      <c r="I100" s="4" t="str">
        <f t="shared" si="18"/>
        <v>vendredi</v>
      </c>
      <c r="J100" s="4" t="str">
        <f t="shared" si="13"/>
        <v>juillet</v>
      </c>
      <c r="K100" s="4">
        <f t="shared" si="14"/>
        <v>1996</v>
      </c>
      <c r="L100" s="4">
        <f t="shared" ca="1" si="19"/>
        <v>29</v>
      </c>
      <c r="M100" s="4">
        <v>1</v>
      </c>
      <c r="N100" s="4">
        <v>759</v>
      </c>
      <c r="O100" s="13">
        <v>4.5999999999999996</v>
      </c>
      <c r="P100" s="13">
        <v>5.2</v>
      </c>
      <c r="Q100" s="13">
        <f t="shared" si="20"/>
        <v>4.9000000000000004</v>
      </c>
      <c r="R100" s="4" t="str">
        <f t="shared" si="21"/>
        <v>REUSSITE</v>
      </c>
    </row>
    <row r="101" spans="1:18" ht="20.100000000000001" customHeight="1" x14ac:dyDescent="0.3">
      <c r="A101" s="4" t="s">
        <v>12</v>
      </c>
      <c r="B101" s="4" t="s">
        <v>219</v>
      </c>
      <c r="C101" s="4" t="s">
        <v>220</v>
      </c>
      <c r="D101" s="4" t="s">
        <v>221</v>
      </c>
      <c r="E101" s="4">
        <v>43</v>
      </c>
      <c r="F101" s="4" t="s">
        <v>39</v>
      </c>
      <c r="G101" s="4" t="s">
        <v>23</v>
      </c>
      <c r="H101" s="5">
        <v>36857</v>
      </c>
      <c r="I101" s="4" t="str">
        <f t="shared" si="18"/>
        <v>lundi</v>
      </c>
      <c r="J101" s="4" t="str">
        <f t="shared" si="13"/>
        <v>novembre</v>
      </c>
      <c r="K101" s="4">
        <f t="shared" si="14"/>
        <v>2000</v>
      </c>
      <c r="L101" s="4">
        <f t="shared" ca="1" si="19"/>
        <v>25</v>
      </c>
      <c r="M101" s="4">
        <v>3</v>
      </c>
      <c r="N101" s="4">
        <v>1238</v>
      </c>
      <c r="O101" s="13">
        <v>4.8</v>
      </c>
      <c r="P101" s="13">
        <v>5.9</v>
      </c>
      <c r="Q101" s="13">
        <f t="shared" si="20"/>
        <v>5.35</v>
      </c>
      <c r="R101" s="4" t="str">
        <f t="shared" si="21"/>
        <v>REUSSITE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479B-07C1-4810-B0A6-B37C2A9EBF77}">
  <sheetPr>
    <pageSetUpPr fitToPage="1"/>
  </sheetPr>
  <dimension ref="A1:I52"/>
  <sheetViews>
    <sheetView workbookViewId="0"/>
  </sheetViews>
  <sheetFormatPr baseColWidth="10" defaultColWidth="30" defaultRowHeight="20.100000000000001" customHeight="1" x14ac:dyDescent="0.3"/>
  <cols>
    <col min="1" max="1" width="15.77734375" style="1" customWidth="1"/>
    <col min="2" max="2" width="35.77734375" style="1" customWidth="1"/>
    <col min="3" max="3" width="20.77734375" style="1" customWidth="1"/>
    <col min="4" max="5" width="15.77734375" style="1" customWidth="1"/>
    <col min="6" max="6" width="20.77734375" style="1" customWidth="1"/>
    <col min="7" max="9" width="15.77734375" style="1" customWidth="1"/>
    <col min="10" max="16384" width="30" style="1"/>
  </cols>
  <sheetData>
    <row r="1" spans="1:9" ht="50.1" customHeight="1" x14ac:dyDescent="0.3">
      <c r="A1" s="9" t="s">
        <v>473</v>
      </c>
      <c r="B1" s="9" t="s">
        <v>325</v>
      </c>
      <c r="C1" s="9" t="s">
        <v>326</v>
      </c>
      <c r="D1" s="9" t="s">
        <v>327</v>
      </c>
      <c r="E1" s="9" t="s">
        <v>328</v>
      </c>
      <c r="F1" s="9" t="s">
        <v>329</v>
      </c>
      <c r="G1" s="10" t="s">
        <v>330</v>
      </c>
      <c r="H1" s="11" t="s">
        <v>331</v>
      </c>
      <c r="I1" s="11" t="s">
        <v>332</v>
      </c>
    </row>
    <row r="2" spans="1:9" ht="20.100000000000001" customHeight="1" x14ac:dyDescent="0.3">
      <c r="A2" s="8">
        <v>1</v>
      </c>
      <c r="B2" s="8" t="s">
        <v>333</v>
      </c>
      <c r="C2" s="8" t="s">
        <v>334</v>
      </c>
      <c r="D2" s="8">
        <v>1959</v>
      </c>
      <c r="E2" s="8" t="s">
        <v>335</v>
      </c>
      <c r="F2" s="8" t="s">
        <v>336</v>
      </c>
      <c r="G2" s="8" t="s">
        <v>337</v>
      </c>
      <c r="H2" s="12">
        <v>2100000</v>
      </c>
      <c r="I2" s="8" t="s">
        <v>338</v>
      </c>
    </row>
    <row r="3" spans="1:9" ht="20.100000000000001" customHeight="1" x14ac:dyDescent="0.3">
      <c r="A3" s="8">
        <v>2</v>
      </c>
      <c r="B3" s="8" t="s">
        <v>339</v>
      </c>
      <c r="C3" s="8" t="s">
        <v>340</v>
      </c>
      <c r="D3" s="8">
        <v>1961</v>
      </c>
      <c r="E3" s="8" t="s">
        <v>341</v>
      </c>
      <c r="F3" s="8" t="s">
        <v>342</v>
      </c>
      <c r="G3" s="8" t="s">
        <v>343</v>
      </c>
      <c r="H3" s="12">
        <v>8600000</v>
      </c>
      <c r="I3" s="8" t="s">
        <v>338</v>
      </c>
    </row>
    <row r="4" spans="1:9" ht="20.100000000000001" customHeight="1" x14ac:dyDescent="0.3">
      <c r="A4" s="8">
        <v>3</v>
      </c>
      <c r="B4" s="8" t="s">
        <v>344</v>
      </c>
      <c r="C4" s="8" t="s">
        <v>345</v>
      </c>
      <c r="D4" s="8">
        <v>1961</v>
      </c>
      <c r="E4" s="8" t="s">
        <v>335</v>
      </c>
      <c r="F4" s="8" t="s">
        <v>346</v>
      </c>
      <c r="G4" s="8" t="s">
        <v>347</v>
      </c>
      <c r="H4" s="12">
        <v>9600000</v>
      </c>
      <c r="I4" s="8" t="s">
        <v>338</v>
      </c>
    </row>
    <row r="5" spans="1:9" ht="20.100000000000001" customHeight="1" x14ac:dyDescent="0.3">
      <c r="A5" s="8">
        <v>4</v>
      </c>
      <c r="B5" s="8" t="s">
        <v>348</v>
      </c>
      <c r="C5" s="8" t="s">
        <v>349</v>
      </c>
      <c r="D5" s="8">
        <v>1964</v>
      </c>
      <c r="E5" s="8" t="s">
        <v>350</v>
      </c>
      <c r="F5" s="8" t="s">
        <v>351</v>
      </c>
      <c r="G5" s="8" t="s">
        <v>352</v>
      </c>
      <c r="H5" s="12">
        <v>3200000</v>
      </c>
      <c r="I5" s="8" t="s">
        <v>338</v>
      </c>
    </row>
    <row r="6" spans="1:9" ht="20.100000000000001" customHeight="1" x14ac:dyDescent="0.3">
      <c r="A6" s="8">
        <v>5</v>
      </c>
      <c r="B6" s="8" t="s">
        <v>353</v>
      </c>
      <c r="C6" s="8" t="s">
        <v>349</v>
      </c>
      <c r="D6" s="8">
        <v>1966</v>
      </c>
      <c r="E6" s="8" t="s">
        <v>350</v>
      </c>
      <c r="F6" s="8" t="s">
        <v>351</v>
      </c>
      <c r="G6" s="8" t="s">
        <v>352</v>
      </c>
      <c r="H6" s="12">
        <v>6300000</v>
      </c>
      <c r="I6" s="8" t="s">
        <v>338</v>
      </c>
    </row>
    <row r="7" spans="1:9" ht="20.100000000000001" customHeight="1" x14ac:dyDescent="0.3">
      <c r="A7" s="8">
        <v>6</v>
      </c>
      <c r="B7" s="8" t="s">
        <v>354</v>
      </c>
      <c r="C7" s="8" t="s">
        <v>355</v>
      </c>
      <c r="D7" s="8">
        <v>1968</v>
      </c>
      <c r="E7" s="8" t="s">
        <v>356</v>
      </c>
      <c r="F7" s="8" t="s">
        <v>357</v>
      </c>
      <c r="G7" s="8" t="s">
        <v>358</v>
      </c>
      <c r="H7" s="12">
        <v>2800000</v>
      </c>
      <c r="I7" s="8" t="s">
        <v>338</v>
      </c>
    </row>
    <row r="8" spans="1:9" ht="20.100000000000001" customHeight="1" x14ac:dyDescent="0.3">
      <c r="A8" s="8">
        <v>7</v>
      </c>
      <c r="B8" s="8" t="s">
        <v>359</v>
      </c>
      <c r="C8" s="8" t="s">
        <v>340</v>
      </c>
      <c r="D8" s="8">
        <v>1969</v>
      </c>
      <c r="E8" s="8" t="s">
        <v>341</v>
      </c>
      <c r="F8" s="8" t="s">
        <v>360</v>
      </c>
      <c r="G8" s="8" t="s">
        <v>361</v>
      </c>
      <c r="H8" s="12">
        <v>1900000</v>
      </c>
      <c r="I8" s="8" t="s">
        <v>338</v>
      </c>
    </row>
    <row r="9" spans="1:9" ht="20.100000000000001" customHeight="1" x14ac:dyDescent="0.3">
      <c r="A9" s="8">
        <v>8</v>
      </c>
      <c r="B9" s="8" t="s">
        <v>362</v>
      </c>
      <c r="C9" s="8" t="s">
        <v>349</v>
      </c>
      <c r="D9" s="8">
        <v>1969</v>
      </c>
      <c r="E9" s="8" t="s">
        <v>350</v>
      </c>
      <c r="F9" s="8" t="s">
        <v>351</v>
      </c>
      <c r="G9" s="8" t="s">
        <v>363</v>
      </c>
      <c r="H9" s="12">
        <v>14700000</v>
      </c>
      <c r="I9" s="8" t="s">
        <v>338</v>
      </c>
    </row>
    <row r="10" spans="1:9" ht="20.100000000000001" customHeight="1" x14ac:dyDescent="0.3">
      <c r="A10" s="8">
        <v>9</v>
      </c>
      <c r="B10" s="8" t="s">
        <v>364</v>
      </c>
      <c r="C10" s="8" t="s">
        <v>334</v>
      </c>
      <c r="D10" s="8">
        <v>1972</v>
      </c>
      <c r="E10" s="8" t="s">
        <v>350</v>
      </c>
      <c r="F10" s="8" t="s">
        <v>365</v>
      </c>
      <c r="G10" s="8" t="s">
        <v>366</v>
      </c>
      <c r="H10" s="12">
        <v>3500000</v>
      </c>
      <c r="I10" s="8" t="s">
        <v>338</v>
      </c>
    </row>
    <row r="11" spans="1:9" ht="20.100000000000001" customHeight="1" x14ac:dyDescent="0.3">
      <c r="A11" s="8">
        <v>10</v>
      </c>
      <c r="B11" s="8" t="s">
        <v>367</v>
      </c>
      <c r="C11" s="8" t="s">
        <v>368</v>
      </c>
      <c r="D11" s="8">
        <v>1972</v>
      </c>
      <c r="E11" s="8" t="s">
        <v>341</v>
      </c>
      <c r="F11" s="8" t="s">
        <v>369</v>
      </c>
      <c r="G11" s="8" t="s">
        <v>366</v>
      </c>
      <c r="H11" s="12">
        <v>7500000</v>
      </c>
      <c r="I11" s="8" t="s">
        <v>370</v>
      </c>
    </row>
    <row r="12" spans="1:9" ht="20.100000000000001" customHeight="1" x14ac:dyDescent="0.3">
      <c r="A12" s="8">
        <v>11</v>
      </c>
      <c r="B12" s="8" t="s">
        <v>371</v>
      </c>
      <c r="C12" s="8" t="s">
        <v>372</v>
      </c>
      <c r="D12" s="8">
        <v>1972</v>
      </c>
      <c r="E12" s="8" t="s">
        <v>350</v>
      </c>
      <c r="F12" s="8" t="s">
        <v>373</v>
      </c>
      <c r="G12" s="8" t="s">
        <v>374</v>
      </c>
      <c r="H12" s="12">
        <v>5200000</v>
      </c>
      <c r="I12" s="8" t="s">
        <v>338</v>
      </c>
    </row>
    <row r="13" spans="1:9" ht="20.100000000000001" customHeight="1" x14ac:dyDescent="0.3">
      <c r="A13" s="8">
        <v>12</v>
      </c>
      <c r="B13" s="8" t="s">
        <v>375</v>
      </c>
      <c r="C13" s="8" t="s">
        <v>368</v>
      </c>
      <c r="D13" s="8">
        <v>1975</v>
      </c>
      <c r="E13" s="8" t="s">
        <v>341</v>
      </c>
      <c r="F13" s="8" t="s">
        <v>369</v>
      </c>
      <c r="G13" s="8" t="s">
        <v>376</v>
      </c>
      <c r="H13" s="12">
        <v>5300000</v>
      </c>
      <c r="I13" s="8" t="s">
        <v>370</v>
      </c>
    </row>
    <row r="14" spans="1:9" ht="20.100000000000001" customHeight="1" x14ac:dyDescent="0.3">
      <c r="A14" s="8">
        <v>13</v>
      </c>
      <c r="B14" s="8" t="s">
        <v>377</v>
      </c>
      <c r="C14" s="8" t="s">
        <v>378</v>
      </c>
      <c r="D14" s="8">
        <v>1975</v>
      </c>
      <c r="E14" s="8" t="s">
        <v>341</v>
      </c>
      <c r="F14" s="8" t="s">
        <v>379</v>
      </c>
      <c r="G14" s="8" t="s">
        <v>380</v>
      </c>
      <c r="H14" s="12">
        <v>6200000</v>
      </c>
      <c r="I14" s="8" t="s">
        <v>338</v>
      </c>
    </row>
    <row r="15" spans="1:9" ht="20.100000000000001" customHeight="1" x14ac:dyDescent="0.3">
      <c r="A15" s="8">
        <v>14</v>
      </c>
      <c r="B15" s="8" t="s">
        <v>381</v>
      </c>
      <c r="C15" s="8" t="s">
        <v>368</v>
      </c>
      <c r="D15" s="8">
        <v>1976</v>
      </c>
      <c r="E15" s="8" t="s">
        <v>341</v>
      </c>
      <c r="F15" s="8" t="s">
        <v>382</v>
      </c>
      <c r="G15" s="8" t="s">
        <v>383</v>
      </c>
      <c r="H15" s="12">
        <v>3600000</v>
      </c>
      <c r="I15" s="8" t="s">
        <v>338</v>
      </c>
    </row>
    <row r="16" spans="1:9" ht="20.100000000000001" customHeight="1" x14ac:dyDescent="0.3">
      <c r="A16" s="8">
        <v>15</v>
      </c>
      <c r="B16" s="8" t="s">
        <v>384</v>
      </c>
      <c r="C16" s="8" t="s">
        <v>368</v>
      </c>
      <c r="D16" s="8">
        <v>1976</v>
      </c>
      <c r="E16" s="8" t="s">
        <v>341</v>
      </c>
      <c r="F16" s="8" t="s">
        <v>385</v>
      </c>
      <c r="G16" s="8" t="s">
        <v>383</v>
      </c>
      <c r="H16" s="12">
        <v>2700000</v>
      </c>
      <c r="I16" s="8" t="s">
        <v>338</v>
      </c>
    </row>
    <row r="17" spans="1:9" ht="20.100000000000001" customHeight="1" x14ac:dyDescent="0.3">
      <c r="A17" s="8">
        <v>16</v>
      </c>
      <c r="B17" s="8" t="s">
        <v>386</v>
      </c>
      <c r="C17" s="8" t="s">
        <v>355</v>
      </c>
      <c r="D17" s="8">
        <v>1977</v>
      </c>
      <c r="E17" s="8" t="s">
        <v>341</v>
      </c>
      <c r="F17" s="8" t="s">
        <v>387</v>
      </c>
      <c r="G17" s="8" t="s">
        <v>388</v>
      </c>
      <c r="H17" s="12">
        <v>5500000</v>
      </c>
      <c r="I17" s="8" t="s">
        <v>338</v>
      </c>
    </row>
    <row r="18" spans="1:9" ht="20.100000000000001" customHeight="1" x14ac:dyDescent="0.3">
      <c r="A18" s="8">
        <v>17</v>
      </c>
      <c r="B18" s="8" t="s">
        <v>389</v>
      </c>
      <c r="C18" s="8" t="s">
        <v>355</v>
      </c>
      <c r="D18" s="8">
        <v>1977</v>
      </c>
      <c r="E18" s="8" t="s">
        <v>341</v>
      </c>
      <c r="F18" s="8" t="s">
        <v>379</v>
      </c>
      <c r="G18" s="8" t="s">
        <v>390</v>
      </c>
      <c r="H18" s="12">
        <v>4200000</v>
      </c>
      <c r="I18" s="8" t="s">
        <v>338</v>
      </c>
    </row>
    <row r="19" spans="1:9" ht="20.100000000000001" customHeight="1" x14ac:dyDescent="0.3">
      <c r="A19" s="8">
        <v>18</v>
      </c>
      <c r="B19" s="8" t="s">
        <v>391</v>
      </c>
      <c r="C19" s="8" t="s">
        <v>345</v>
      </c>
      <c r="D19" s="8">
        <v>1977</v>
      </c>
      <c r="E19" s="8" t="s">
        <v>341</v>
      </c>
      <c r="F19" s="8" t="s">
        <v>392</v>
      </c>
      <c r="G19" s="8" t="s">
        <v>392</v>
      </c>
      <c r="H19" s="12">
        <v>2900000</v>
      </c>
      <c r="I19" s="8" t="s">
        <v>370</v>
      </c>
    </row>
    <row r="20" spans="1:9" ht="20.100000000000001" customHeight="1" x14ac:dyDescent="0.3">
      <c r="A20" s="8">
        <v>19</v>
      </c>
      <c r="B20" s="8" t="s">
        <v>393</v>
      </c>
      <c r="C20" s="8" t="s">
        <v>368</v>
      </c>
      <c r="D20" s="8">
        <v>1978</v>
      </c>
      <c r="E20" s="8" t="s">
        <v>341</v>
      </c>
      <c r="F20" s="8" t="s">
        <v>394</v>
      </c>
      <c r="G20" s="8" t="s">
        <v>383</v>
      </c>
      <c r="H20" s="12">
        <v>3900000</v>
      </c>
      <c r="I20" s="8" t="s">
        <v>370</v>
      </c>
    </row>
    <row r="21" spans="1:9" ht="20.100000000000001" customHeight="1" x14ac:dyDescent="0.3">
      <c r="A21" s="8">
        <v>20</v>
      </c>
      <c r="B21" s="8" t="s">
        <v>395</v>
      </c>
      <c r="C21" s="8" t="s">
        <v>345</v>
      </c>
      <c r="D21" s="8">
        <v>1978</v>
      </c>
      <c r="E21" s="8" t="s">
        <v>341</v>
      </c>
      <c r="F21" s="8" t="s">
        <v>396</v>
      </c>
      <c r="G21" s="8" t="s">
        <v>396</v>
      </c>
      <c r="H21" s="12">
        <v>3700000</v>
      </c>
      <c r="I21" s="8" t="s">
        <v>338</v>
      </c>
    </row>
    <row r="22" spans="1:9" ht="20.100000000000001" customHeight="1" x14ac:dyDescent="0.3">
      <c r="A22" s="8">
        <v>21</v>
      </c>
      <c r="B22" s="8" t="s">
        <v>397</v>
      </c>
      <c r="C22" s="8" t="s">
        <v>398</v>
      </c>
      <c r="D22" s="8">
        <v>1979</v>
      </c>
      <c r="E22" s="8" t="s">
        <v>341</v>
      </c>
      <c r="F22" s="8" t="s">
        <v>369</v>
      </c>
      <c r="G22" s="8" t="s">
        <v>366</v>
      </c>
      <c r="H22" s="12">
        <v>4300000</v>
      </c>
      <c r="I22" s="8" t="s">
        <v>338</v>
      </c>
    </row>
    <row r="23" spans="1:9" ht="20.100000000000001" customHeight="1" x14ac:dyDescent="0.3">
      <c r="A23" s="8">
        <v>22</v>
      </c>
      <c r="B23" s="8" t="s">
        <v>399</v>
      </c>
      <c r="C23" s="8" t="s">
        <v>400</v>
      </c>
      <c r="D23" s="8">
        <v>1980</v>
      </c>
      <c r="E23" s="8" t="s">
        <v>356</v>
      </c>
      <c r="F23" s="8" t="s">
        <v>357</v>
      </c>
      <c r="G23" s="8" t="s">
        <v>401</v>
      </c>
      <c r="H23" s="12">
        <v>2600000</v>
      </c>
      <c r="I23" s="8" t="s">
        <v>338</v>
      </c>
    </row>
    <row r="24" spans="1:9" ht="20.100000000000001" customHeight="1" x14ac:dyDescent="0.3">
      <c r="A24" s="8">
        <v>23</v>
      </c>
      <c r="B24" s="8" t="s">
        <v>402</v>
      </c>
      <c r="C24" s="8" t="s">
        <v>368</v>
      </c>
      <c r="D24" s="8">
        <v>1980</v>
      </c>
      <c r="E24" s="8" t="s">
        <v>335</v>
      </c>
      <c r="F24" s="8" t="s">
        <v>403</v>
      </c>
      <c r="G24" s="8" t="s">
        <v>404</v>
      </c>
      <c r="H24" s="12">
        <v>2800000</v>
      </c>
      <c r="I24" s="8" t="s">
        <v>338</v>
      </c>
    </row>
    <row r="25" spans="1:9" ht="20.100000000000001" customHeight="1" x14ac:dyDescent="0.3">
      <c r="A25" s="8">
        <v>24</v>
      </c>
      <c r="B25" s="8" t="s">
        <v>405</v>
      </c>
      <c r="C25" s="8" t="s">
        <v>368</v>
      </c>
      <c r="D25" s="8">
        <v>1981</v>
      </c>
      <c r="E25" s="8" t="s">
        <v>335</v>
      </c>
      <c r="F25" s="8" t="s">
        <v>406</v>
      </c>
      <c r="G25" s="8" t="s">
        <v>404</v>
      </c>
      <c r="H25" s="12">
        <v>2700000</v>
      </c>
      <c r="I25" s="8" t="s">
        <v>338</v>
      </c>
    </row>
    <row r="26" spans="1:9" ht="20.100000000000001" customHeight="1" x14ac:dyDescent="0.3">
      <c r="A26" s="8">
        <v>25</v>
      </c>
      <c r="B26" s="8" t="s">
        <v>407</v>
      </c>
      <c r="C26" s="8" t="s">
        <v>378</v>
      </c>
      <c r="D26" s="8">
        <v>1981</v>
      </c>
      <c r="E26" s="8" t="s">
        <v>335</v>
      </c>
      <c r="F26" s="8" t="s">
        <v>408</v>
      </c>
      <c r="G26" s="8" t="s">
        <v>409</v>
      </c>
      <c r="H26" s="12">
        <v>3900000</v>
      </c>
      <c r="I26" s="8" t="s">
        <v>338</v>
      </c>
    </row>
    <row r="27" spans="1:9" ht="20.100000000000001" customHeight="1" x14ac:dyDescent="0.3">
      <c r="A27" s="8">
        <v>26</v>
      </c>
      <c r="B27" s="8" t="s">
        <v>410</v>
      </c>
      <c r="C27" s="8" t="s">
        <v>378</v>
      </c>
      <c r="D27" s="8">
        <v>1981</v>
      </c>
      <c r="E27" s="8" t="s">
        <v>341</v>
      </c>
      <c r="F27" s="8" t="s">
        <v>379</v>
      </c>
      <c r="G27" s="8" t="s">
        <v>388</v>
      </c>
      <c r="H27" s="12">
        <v>5900000</v>
      </c>
      <c r="I27" s="8" t="s">
        <v>338</v>
      </c>
    </row>
    <row r="28" spans="1:9" ht="20.100000000000001" customHeight="1" x14ac:dyDescent="0.3">
      <c r="A28" s="8">
        <v>27</v>
      </c>
      <c r="B28" s="8" t="s">
        <v>411</v>
      </c>
      <c r="C28" s="8" t="s">
        <v>368</v>
      </c>
      <c r="D28" s="8">
        <v>1982</v>
      </c>
      <c r="E28" s="8" t="s">
        <v>356</v>
      </c>
      <c r="F28" s="8" t="s">
        <v>412</v>
      </c>
      <c r="G28" s="8" t="s">
        <v>413</v>
      </c>
      <c r="H28" s="12">
        <v>4900000</v>
      </c>
      <c r="I28" s="8" t="s">
        <v>370</v>
      </c>
    </row>
    <row r="29" spans="1:9" ht="20.100000000000001" customHeight="1" x14ac:dyDescent="0.3">
      <c r="A29" s="8">
        <v>28</v>
      </c>
      <c r="B29" s="8" t="s">
        <v>414</v>
      </c>
      <c r="C29" s="8" t="s">
        <v>368</v>
      </c>
      <c r="D29" s="8">
        <v>1982</v>
      </c>
      <c r="E29" s="8" t="s">
        <v>341</v>
      </c>
      <c r="F29" s="8" t="s">
        <v>415</v>
      </c>
      <c r="G29" s="8" t="s">
        <v>416</v>
      </c>
      <c r="H29" s="12">
        <v>1900000</v>
      </c>
      <c r="I29" s="8" t="s">
        <v>338</v>
      </c>
    </row>
    <row r="30" spans="1:9" ht="20.100000000000001" customHeight="1" x14ac:dyDescent="0.3">
      <c r="A30" s="8">
        <v>29</v>
      </c>
      <c r="B30" s="8" t="s">
        <v>417</v>
      </c>
      <c r="C30" s="8" t="s">
        <v>355</v>
      </c>
      <c r="D30" s="8">
        <v>1982</v>
      </c>
      <c r="E30" s="8" t="s">
        <v>341</v>
      </c>
      <c r="F30" s="8" t="s">
        <v>379</v>
      </c>
      <c r="G30" s="8" t="s">
        <v>169</v>
      </c>
      <c r="H30" s="12">
        <v>8300000.0000000009</v>
      </c>
      <c r="I30" s="8" t="s">
        <v>338</v>
      </c>
    </row>
    <row r="31" spans="1:9" ht="20.100000000000001" customHeight="1" x14ac:dyDescent="0.3">
      <c r="A31" s="8">
        <v>30</v>
      </c>
      <c r="B31" s="8" t="s">
        <v>418</v>
      </c>
      <c r="C31" s="8" t="s">
        <v>378</v>
      </c>
      <c r="D31" s="8">
        <v>1983</v>
      </c>
      <c r="E31" s="8" t="s">
        <v>341</v>
      </c>
      <c r="F31" s="8" t="s">
        <v>419</v>
      </c>
      <c r="G31" s="8" t="s">
        <v>420</v>
      </c>
      <c r="H31" s="12">
        <v>7400000</v>
      </c>
      <c r="I31" s="8" t="s">
        <v>338</v>
      </c>
    </row>
    <row r="32" spans="1:9" ht="20.100000000000001" customHeight="1" x14ac:dyDescent="0.3">
      <c r="A32" s="8">
        <v>31</v>
      </c>
      <c r="B32" s="8" t="s">
        <v>421</v>
      </c>
      <c r="C32" s="8" t="s">
        <v>334</v>
      </c>
      <c r="D32" s="8">
        <v>1983</v>
      </c>
      <c r="E32" s="8" t="s">
        <v>341</v>
      </c>
      <c r="F32" s="8" t="s">
        <v>422</v>
      </c>
      <c r="G32" s="8" t="s">
        <v>401</v>
      </c>
      <c r="H32" s="12">
        <v>4300000</v>
      </c>
      <c r="I32" s="8" t="s">
        <v>370</v>
      </c>
    </row>
    <row r="33" spans="1:9" ht="20.100000000000001" customHeight="1" x14ac:dyDescent="0.3">
      <c r="A33" s="8">
        <v>32</v>
      </c>
      <c r="B33" s="8" t="s">
        <v>423</v>
      </c>
      <c r="C33" s="8" t="s">
        <v>340</v>
      </c>
      <c r="D33" s="8">
        <v>1984</v>
      </c>
      <c r="E33" s="8" t="s">
        <v>341</v>
      </c>
      <c r="F33" s="8" t="s">
        <v>369</v>
      </c>
      <c r="G33" s="8" t="s">
        <v>424</v>
      </c>
      <c r="H33" s="12">
        <v>1500000</v>
      </c>
      <c r="I33" s="8" t="s">
        <v>338</v>
      </c>
    </row>
    <row r="34" spans="1:9" ht="20.100000000000001" customHeight="1" x14ac:dyDescent="0.3">
      <c r="A34" s="8">
        <v>33</v>
      </c>
      <c r="B34" s="8" t="s">
        <v>425</v>
      </c>
      <c r="C34" s="8" t="s">
        <v>372</v>
      </c>
      <c r="D34" s="8">
        <v>1985</v>
      </c>
      <c r="E34" s="8" t="s">
        <v>341</v>
      </c>
      <c r="F34" s="8" t="s">
        <v>394</v>
      </c>
      <c r="G34" s="8" t="s">
        <v>426</v>
      </c>
      <c r="H34" s="12">
        <v>2800000</v>
      </c>
      <c r="I34" s="8" t="s">
        <v>338</v>
      </c>
    </row>
    <row r="35" spans="1:9" ht="20.100000000000001" customHeight="1" x14ac:dyDescent="0.3">
      <c r="A35" s="8">
        <v>34</v>
      </c>
      <c r="B35" s="8" t="s">
        <v>427</v>
      </c>
      <c r="C35" s="8" t="s">
        <v>355</v>
      </c>
      <c r="D35" s="8">
        <v>1985</v>
      </c>
      <c r="E35" s="8" t="s">
        <v>341</v>
      </c>
      <c r="F35" s="8" t="s">
        <v>428</v>
      </c>
      <c r="G35" s="8" t="s">
        <v>420</v>
      </c>
      <c r="H35" s="12">
        <v>2300000</v>
      </c>
      <c r="I35" s="8" t="s">
        <v>338</v>
      </c>
    </row>
    <row r="36" spans="1:9" ht="20.100000000000001" customHeight="1" x14ac:dyDescent="0.3">
      <c r="A36" s="8">
        <v>35</v>
      </c>
      <c r="B36" s="8" t="s">
        <v>429</v>
      </c>
      <c r="C36" s="8" t="s">
        <v>355</v>
      </c>
      <c r="D36" s="8">
        <v>1985</v>
      </c>
      <c r="E36" s="8" t="s">
        <v>356</v>
      </c>
      <c r="F36" s="8" t="s">
        <v>430</v>
      </c>
      <c r="G36" s="8" t="s">
        <v>431</v>
      </c>
      <c r="H36" s="12">
        <v>3500000</v>
      </c>
      <c r="I36" s="8" t="s">
        <v>338</v>
      </c>
    </row>
    <row r="37" spans="1:9" ht="20.100000000000001" customHeight="1" x14ac:dyDescent="0.3">
      <c r="A37" s="8">
        <v>36</v>
      </c>
      <c r="B37" s="8" t="s">
        <v>432</v>
      </c>
      <c r="C37" s="8" t="s">
        <v>378</v>
      </c>
      <c r="D37" s="8">
        <v>1985</v>
      </c>
      <c r="E37" s="8" t="s">
        <v>341</v>
      </c>
      <c r="F37" s="8" t="s">
        <v>433</v>
      </c>
      <c r="G37" s="8" t="s">
        <v>434</v>
      </c>
      <c r="H37" s="12">
        <v>4700000</v>
      </c>
      <c r="I37" s="8" t="s">
        <v>370</v>
      </c>
    </row>
    <row r="38" spans="1:9" ht="20.100000000000001" customHeight="1" x14ac:dyDescent="0.3">
      <c r="A38" s="8">
        <v>37</v>
      </c>
      <c r="B38" s="8" t="s">
        <v>435</v>
      </c>
      <c r="C38" s="8" t="s">
        <v>334</v>
      </c>
      <c r="D38" s="8">
        <v>1985</v>
      </c>
      <c r="E38" s="8" t="s">
        <v>341</v>
      </c>
      <c r="F38" s="8" t="s">
        <v>392</v>
      </c>
      <c r="G38" s="8" t="s">
        <v>436</v>
      </c>
      <c r="H38" s="12">
        <v>3400000</v>
      </c>
      <c r="I38" s="8" t="s">
        <v>338</v>
      </c>
    </row>
    <row r="39" spans="1:9" ht="20.100000000000001" customHeight="1" x14ac:dyDescent="0.3">
      <c r="A39" s="8">
        <v>38</v>
      </c>
      <c r="B39" s="8" t="s">
        <v>437</v>
      </c>
      <c r="C39" s="8" t="s">
        <v>368</v>
      </c>
      <c r="D39" s="8">
        <v>1986</v>
      </c>
      <c r="E39" s="8" t="s">
        <v>335</v>
      </c>
      <c r="F39" s="8" t="s">
        <v>438</v>
      </c>
      <c r="G39" s="8" t="s">
        <v>439</v>
      </c>
      <c r="H39" s="12">
        <v>6000000</v>
      </c>
      <c r="I39" s="8" t="s">
        <v>338</v>
      </c>
    </row>
    <row r="40" spans="1:9" ht="20.100000000000001" customHeight="1" x14ac:dyDescent="0.3">
      <c r="A40" s="8">
        <v>39</v>
      </c>
      <c r="B40" s="8" t="s">
        <v>440</v>
      </c>
      <c r="C40" s="8" t="s">
        <v>368</v>
      </c>
      <c r="D40" s="8">
        <v>1986</v>
      </c>
      <c r="E40" s="8" t="s">
        <v>335</v>
      </c>
      <c r="F40" s="8" t="s">
        <v>438</v>
      </c>
      <c r="G40" s="8" t="s">
        <v>439</v>
      </c>
      <c r="H40" s="12">
        <v>4300000</v>
      </c>
      <c r="I40" s="8" t="s">
        <v>338</v>
      </c>
    </row>
    <row r="41" spans="1:9" ht="20.100000000000001" customHeight="1" x14ac:dyDescent="0.3">
      <c r="A41" s="8">
        <v>40</v>
      </c>
      <c r="B41" s="8" t="s">
        <v>441</v>
      </c>
      <c r="C41" s="8" t="s">
        <v>378</v>
      </c>
      <c r="D41" s="8">
        <v>1986</v>
      </c>
      <c r="E41" s="8" t="s">
        <v>341</v>
      </c>
      <c r="F41" s="8" t="s">
        <v>352</v>
      </c>
      <c r="G41" s="8" t="s">
        <v>352</v>
      </c>
      <c r="H41" s="12">
        <v>1900000</v>
      </c>
      <c r="I41" s="8" t="s">
        <v>338</v>
      </c>
    </row>
    <row r="42" spans="1:9" ht="20.100000000000001" customHeight="1" x14ac:dyDescent="0.3">
      <c r="A42" s="8">
        <v>41</v>
      </c>
      <c r="B42" s="8" t="s">
        <v>442</v>
      </c>
      <c r="C42" s="8" t="s">
        <v>345</v>
      </c>
      <c r="D42" s="8">
        <v>1986</v>
      </c>
      <c r="E42" s="8" t="s">
        <v>335</v>
      </c>
      <c r="F42" s="8" t="s">
        <v>443</v>
      </c>
      <c r="G42" s="8" t="s">
        <v>444</v>
      </c>
      <c r="H42" s="12">
        <v>10000000</v>
      </c>
      <c r="I42" s="8" t="s">
        <v>338</v>
      </c>
    </row>
    <row r="43" spans="1:9" ht="20.100000000000001" customHeight="1" x14ac:dyDescent="0.3">
      <c r="A43" s="8">
        <v>42</v>
      </c>
      <c r="B43" s="8" t="s">
        <v>445</v>
      </c>
      <c r="C43" s="8" t="s">
        <v>368</v>
      </c>
      <c r="D43" s="8">
        <v>1986</v>
      </c>
      <c r="E43" s="8" t="s">
        <v>335</v>
      </c>
      <c r="F43" s="8" t="s">
        <v>408</v>
      </c>
      <c r="G43" s="8" t="s">
        <v>446</v>
      </c>
      <c r="H43" s="12">
        <v>8900000</v>
      </c>
      <c r="I43" s="8" t="s">
        <v>338</v>
      </c>
    </row>
    <row r="44" spans="1:9" ht="20.100000000000001" customHeight="1" x14ac:dyDescent="0.3">
      <c r="A44" s="8">
        <v>43</v>
      </c>
      <c r="B44" s="8" t="s">
        <v>447</v>
      </c>
      <c r="C44" s="8" t="s">
        <v>378</v>
      </c>
      <c r="D44" s="8">
        <v>1986</v>
      </c>
      <c r="E44" s="8" t="s">
        <v>341</v>
      </c>
      <c r="F44" s="8" t="s">
        <v>448</v>
      </c>
      <c r="G44" s="8" t="s">
        <v>449</v>
      </c>
      <c r="H44" s="12">
        <v>5800000</v>
      </c>
      <c r="I44" s="8" t="s">
        <v>338</v>
      </c>
    </row>
    <row r="45" spans="1:9" ht="20.100000000000001" customHeight="1" x14ac:dyDescent="0.3">
      <c r="A45" s="8">
        <v>44</v>
      </c>
      <c r="B45" s="8" t="s">
        <v>450</v>
      </c>
      <c r="C45" s="8" t="s">
        <v>368</v>
      </c>
      <c r="D45" s="8">
        <v>1987</v>
      </c>
      <c r="E45" s="8" t="s">
        <v>350</v>
      </c>
      <c r="F45" s="8" t="s">
        <v>365</v>
      </c>
      <c r="G45" s="8" t="s">
        <v>451</v>
      </c>
      <c r="H45" s="12">
        <v>7500000</v>
      </c>
      <c r="I45" s="8" t="s">
        <v>370</v>
      </c>
    </row>
    <row r="46" spans="1:9" ht="20.100000000000001" customHeight="1" x14ac:dyDescent="0.3">
      <c r="A46" s="8">
        <v>45</v>
      </c>
      <c r="B46" s="8" t="s">
        <v>452</v>
      </c>
      <c r="C46" s="8" t="s">
        <v>368</v>
      </c>
      <c r="D46" s="8">
        <v>1987</v>
      </c>
      <c r="E46" s="8" t="s">
        <v>335</v>
      </c>
      <c r="F46" s="8" t="s">
        <v>453</v>
      </c>
      <c r="G46" s="8" t="s">
        <v>404</v>
      </c>
      <c r="H46" s="12">
        <v>2900000</v>
      </c>
      <c r="I46" s="8" t="s">
        <v>338</v>
      </c>
    </row>
    <row r="47" spans="1:9" ht="20.100000000000001" customHeight="1" x14ac:dyDescent="0.3">
      <c r="A47" s="8">
        <v>46</v>
      </c>
      <c r="B47" s="8" t="s">
        <v>454</v>
      </c>
      <c r="C47" s="8" t="s">
        <v>378</v>
      </c>
      <c r="D47" s="8">
        <v>1988</v>
      </c>
      <c r="E47" s="8" t="s">
        <v>335</v>
      </c>
      <c r="F47" s="8" t="s">
        <v>408</v>
      </c>
      <c r="G47" s="8" t="s">
        <v>455</v>
      </c>
      <c r="H47" s="12">
        <v>7800000</v>
      </c>
      <c r="I47" s="8" t="s">
        <v>338</v>
      </c>
    </row>
    <row r="48" spans="1:9" ht="20.100000000000001" customHeight="1" x14ac:dyDescent="0.3">
      <c r="A48" s="8">
        <v>47</v>
      </c>
      <c r="B48" s="8" t="s">
        <v>456</v>
      </c>
      <c r="C48" s="8" t="s">
        <v>378</v>
      </c>
      <c r="D48" s="8">
        <v>1988</v>
      </c>
      <c r="E48" s="8" t="s">
        <v>335</v>
      </c>
      <c r="F48" s="8" t="s">
        <v>457</v>
      </c>
      <c r="G48" s="8" t="s">
        <v>458</v>
      </c>
      <c r="H48" s="12">
        <v>5900000</v>
      </c>
      <c r="I48" s="8" t="s">
        <v>338</v>
      </c>
    </row>
    <row r="49" spans="1:9" ht="20.100000000000001" customHeight="1" x14ac:dyDescent="0.3">
      <c r="A49" s="8">
        <v>48</v>
      </c>
      <c r="B49" s="8" t="s">
        <v>459</v>
      </c>
      <c r="C49" s="8" t="s">
        <v>345</v>
      </c>
      <c r="D49" s="8">
        <v>1988</v>
      </c>
      <c r="E49" s="8" t="s">
        <v>341</v>
      </c>
      <c r="F49" s="8" t="s">
        <v>460</v>
      </c>
      <c r="G49" s="8" t="s">
        <v>461</v>
      </c>
      <c r="H49" s="12">
        <v>3600000</v>
      </c>
      <c r="I49" s="8" t="s">
        <v>338</v>
      </c>
    </row>
    <row r="50" spans="1:9" ht="20.100000000000001" customHeight="1" x14ac:dyDescent="0.3">
      <c r="A50" s="8">
        <v>49</v>
      </c>
      <c r="B50" s="8" t="s">
        <v>462</v>
      </c>
      <c r="C50" s="8" t="s">
        <v>334</v>
      </c>
      <c r="D50" s="8">
        <v>1989</v>
      </c>
      <c r="E50" s="8" t="s">
        <v>341</v>
      </c>
      <c r="F50" s="8" t="s">
        <v>392</v>
      </c>
      <c r="G50" s="8" t="s">
        <v>392</v>
      </c>
      <c r="H50" s="12">
        <v>2400000</v>
      </c>
      <c r="I50" s="8" t="s">
        <v>338</v>
      </c>
    </row>
    <row r="51" spans="1:9" ht="20.100000000000001" customHeight="1" x14ac:dyDescent="0.3">
      <c r="A51" s="8">
        <v>50</v>
      </c>
      <c r="B51" s="8" t="s">
        <v>463</v>
      </c>
      <c r="C51" s="8" t="s">
        <v>368</v>
      </c>
      <c r="D51" s="8">
        <v>1990</v>
      </c>
      <c r="E51" s="8" t="s">
        <v>341</v>
      </c>
      <c r="F51" s="8" t="s">
        <v>369</v>
      </c>
      <c r="G51" s="8" t="s">
        <v>376</v>
      </c>
      <c r="H51" s="12">
        <v>3800000</v>
      </c>
      <c r="I51" s="8" t="s">
        <v>338</v>
      </c>
    </row>
    <row r="52" spans="1:9" ht="20.100000000000001" customHeight="1" x14ac:dyDescent="0.3">
      <c r="A52" s="8">
        <v>51</v>
      </c>
      <c r="B52" s="8" t="s">
        <v>464</v>
      </c>
      <c r="C52" s="8" t="s">
        <v>355</v>
      </c>
      <c r="D52" s="8">
        <v>1990</v>
      </c>
      <c r="E52" s="8" t="s">
        <v>341</v>
      </c>
      <c r="F52" s="8" t="s">
        <v>465</v>
      </c>
      <c r="G52" s="8" t="s">
        <v>466</v>
      </c>
      <c r="H52" s="12">
        <v>5600000</v>
      </c>
      <c r="I52" s="8" t="s">
        <v>338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6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B1E2-9E59-4E3C-9284-003BF946FF2E}">
  <sheetPr>
    <pageSetUpPr fitToPage="1"/>
  </sheetPr>
  <dimension ref="A1:I52"/>
  <sheetViews>
    <sheetView workbookViewId="0"/>
  </sheetViews>
  <sheetFormatPr baseColWidth="10" defaultColWidth="30" defaultRowHeight="20.100000000000001" customHeight="1" x14ac:dyDescent="0.3"/>
  <cols>
    <col min="1" max="1" width="15.77734375" style="1" customWidth="1"/>
    <col min="2" max="2" width="35.77734375" style="1" customWidth="1"/>
    <col min="3" max="3" width="20.77734375" style="1" customWidth="1"/>
    <col min="4" max="5" width="15.77734375" style="1" customWidth="1"/>
    <col min="6" max="6" width="20.77734375" style="1" customWidth="1"/>
    <col min="7" max="9" width="15.77734375" style="1" customWidth="1"/>
    <col min="10" max="16384" width="30" style="1"/>
  </cols>
  <sheetData>
    <row r="1" spans="1:9" ht="50.1" customHeight="1" x14ac:dyDescent="0.3">
      <c r="A1" s="9" t="s">
        <v>473</v>
      </c>
      <c r="B1" s="9" t="s">
        <v>325</v>
      </c>
      <c r="C1" s="9" t="s">
        <v>326</v>
      </c>
      <c r="D1" s="9" t="s">
        <v>327</v>
      </c>
      <c r="E1" s="9" t="s">
        <v>328</v>
      </c>
      <c r="F1" s="9" t="s">
        <v>329</v>
      </c>
      <c r="G1" s="10" t="s">
        <v>330</v>
      </c>
      <c r="H1" s="11" t="s">
        <v>331</v>
      </c>
      <c r="I1" s="11" t="s">
        <v>332</v>
      </c>
    </row>
    <row r="2" spans="1:9" ht="20.100000000000001" customHeight="1" x14ac:dyDescent="0.3">
      <c r="A2" s="8">
        <v>1</v>
      </c>
      <c r="B2" s="8" t="s">
        <v>333</v>
      </c>
      <c r="C2" s="8" t="s">
        <v>334</v>
      </c>
      <c r="D2" s="8">
        <v>1959</v>
      </c>
      <c r="E2" s="8" t="s">
        <v>335</v>
      </c>
      <c r="F2" s="8" t="s">
        <v>336</v>
      </c>
      <c r="G2" s="8" t="s">
        <v>337</v>
      </c>
      <c r="H2" s="12">
        <v>2100000</v>
      </c>
      <c r="I2" s="8" t="s">
        <v>338</v>
      </c>
    </row>
    <row r="3" spans="1:9" ht="20.100000000000001" customHeight="1" x14ac:dyDescent="0.3">
      <c r="A3" s="8">
        <v>2</v>
      </c>
      <c r="B3" s="8" t="s">
        <v>339</v>
      </c>
      <c r="C3" s="8" t="s">
        <v>340</v>
      </c>
      <c r="D3" s="8">
        <v>1961</v>
      </c>
      <c r="E3" s="8" t="s">
        <v>341</v>
      </c>
      <c r="F3" s="8" t="s">
        <v>342</v>
      </c>
      <c r="G3" s="8" t="s">
        <v>343</v>
      </c>
      <c r="H3" s="12">
        <v>8600000</v>
      </c>
      <c r="I3" s="8" t="s">
        <v>338</v>
      </c>
    </row>
    <row r="4" spans="1:9" ht="20.100000000000001" customHeight="1" x14ac:dyDescent="0.3">
      <c r="A4" s="8">
        <v>3</v>
      </c>
      <c r="B4" s="8" t="s">
        <v>344</v>
      </c>
      <c r="C4" s="8" t="s">
        <v>345</v>
      </c>
      <c r="D4" s="8">
        <v>1961</v>
      </c>
      <c r="E4" s="8" t="s">
        <v>335</v>
      </c>
      <c r="F4" s="8" t="s">
        <v>346</v>
      </c>
      <c r="G4" s="8" t="s">
        <v>347</v>
      </c>
      <c r="H4" s="12">
        <v>9600000</v>
      </c>
      <c r="I4" s="8" t="s">
        <v>338</v>
      </c>
    </row>
    <row r="5" spans="1:9" ht="20.100000000000001" customHeight="1" x14ac:dyDescent="0.3">
      <c r="A5" s="8">
        <v>4</v>
      </c>
      <c r="B5" s="8" t="s">
        <v>348</v>
      </c>
      <c r="C5" s="8" t="s">
        <v>349</v>
      </c>
      <c r="D5" s="8">
        <v>1964</v>
      </c>
      <c r="E5" s="8" t="s">
        <v>350</v>
      </c>
      <c r="F5" s="8" t="s">
        <v>351</v>
      </c>
      <c r="G5" s="8" t="s">
        <v>352</v>
      </c>
      <c r="H5" s="12">
        <v>3200000</v>
      </c>
      <c r="I5" s="8" t="s">
        <v>338</v>
      </c>
    </row>
    <row r="6" spans="1:9" ht="20.100000000000001" customHeight="1" x14ac:dyDescent="0.3">
      <c r="A6" s="8">
        <v>5</v>
      </c>
      <c r="B6" s="8" t="s">
        <v>353</v>
      </c>
      <c r="C6" s="8" t="s">
        <v>349</v>
      </c>
      <c r="D6" s="8">
        <v>1966</v>
      </c>
      <c r="E6" s="8" t="s">
        <v>350</v>
      </c>
      <c r="F6" s="8" t="s">
        <v>351</v>
      </c>
      <c r="G6" s="8" t="s">
        <v>352</v>
      </c>
      <c r="H6" s="12">
        <v>6300000</v>
      </c>
      <c r="I6" s="8" t="s">
        <v>338</v>
      </c>
    </row>
    <row r="7" spans="1:9" ht="20.100000000000001" customHeight="1" x14ac:dyDescent="0.3">
      <c r="A7" s="8">
        <v>6</v>
      </c>
      <c r="B7" s="8" t="s">
        <v>354</v>
      </c>
      <c r="C7" s="8" t="s">
        <v>355</v>
      </c>
      <c r="D7" s="8">
        <v>1968</v>
      </c>
      <c r="E7" s="8" t="s">
        <v>356</v>
      </c>
      <c r="F7" s="8" t="s">
        <v>357</v>
      </c>
      <c r="G7" s="8" t="s">
        <v>358</v>
      </c>
      <c r="H7" s="12">
        <v>2800000</v>
      </c>
      <c r="I7" s="8" t="s">
        <v>338</v>
      </c>
    </row>
    <row r="8" spans="1:9" ht="20.100000000000001" customHeight="1" x14ac:dyDescent="0.3">
      <c r="A8" s="8">
        <v>7</v>
      </c>
      <c r="B8" s="8" t="s">
        <v>359</v>
      </c>
      <c r="C8" s="8" t="s">
        <v>340</v>
      </c>
      <c r="D8" s="8">
        <v>1969</v>
      </c>
      <c r="E8" s="8" t="s">
        <v>341</v>
      </c>
      <c r="F8" s="8" t="s">
        <v>360</v>
      </c>
      <c r="G8" s="8" t="s">
        <v>361</v>
      </c>
      <c r="H8" s="12">
        <v>1900000</v>
      </c>
      <c r="I8" s="8" t="s">
        <v>338</v>
      </c>
    </row>
    <row r="9" spans="1:9" ht="20.100000000000001" customHeight="1" x14ac:dyDescent="0.3">
      <c r="A9" s="8">
        <v>8</v>
      </c>
      <c r="B9" s="8" t="s">
        <v>362</v>
      </c>
      <c r="C9" s="8" t="s">
        <v>349</v>
      </c>
      <c r="D9" s="8">
        <v>1969</v>
      </c>
      <c r="E9" s="8" t="s">
        <v>350</v>
      </c>
      <c r="F9" s="8" t="s">
        <v>351</v>
      </c>
      <c r="G9" s="8" t="s">
        <v>363</v>
      </c>
      <c r="H9" s="12">
        <v>14700000</v>
      </c>
      <c r="I9" s="8" t="s">
        <v>338</v>
      </c>
    </row>
    <row r="10" spans="1:9" ht="20.100000000000001" customHeight="1" x14ac:dyDescent="0.3">
      <c r="A10" s="8">
        <v>9</v>
      </c>
      <c r="B10" s="8" t="s">
        <v>364</v>
      </c>
      <c r="C10" s="8" t="s">
        <v>334</v>
      </c>
      <c r="D10" s="8">
        <v>1972</v>
      </c>
      <c r="E10" s="8" t="s">
        <v>350</v>
      </c>
      <c r="F10" s="8" t="s">
        <v>365</v>
      </c>
      <c r="G10" s="8" t="s">
        <v>366</v>
      </c>
      <c r="H10" s="12">
        <v>3500000</v>
      </c>
      <c r="I10" s="8" t="s">
        <v>338</v>
      </c>
    </row>
    <row r="11" spans="1:9" ht="20.100000000000001" customHeight="1" x14ac:dyDescent="0.3">
      <c r="A11" s="8">
        <v>10</v>
      </c>
      <c r="B11" s="8" t="s">
        <v>367</v>
      </c>
      <c r="C11" s="8" t="s">
        <v>368</v>
      </c>
      <c r="D11" s="8">
        <v>1972</v>
      </c>
      <c r="E11" s="8" t="s">
        <v>341</v>
      </c>
      <c r="F11" s="8" t="s">
        <v>369</v>
      </c>
      <c r="G11" s="8" t="s">
        <v>366</v>
      </c>
      <c r="H11" s="12">
        <v>7500000</v>
      </c>
      <c r="I11" s="8" t="s">
        <v>370</v>
      </c>
    </row>
    <row r="12" spans="1:9" ht="20.100000000000001" customHeight="1" x14ac:dyDescent="0.3">
      <c r="A12" s="8">
        <v>11</v>
      </c>
      <c r="B12" s="8" t="s">
        <v>371</v>
      </c>
      <c r="C12" s="8" t="s">
        <v>372</v>
      </c>
      <c r="D12" s="8">
        <v>1972</v>
      </c>
      <c r="E12" s="8" t="s">
        <v>350</v>
      </c>
      <c r="F12" s="8" t="s">
        <v>373</v>
      </c>
      <c r="G12" s="8" t="s">
        <v>374</v>
      </c>
      <c r="H12" s="12">
        <v>5200000</v>
      </c>
      <c r="I12" s="8" t="s">
        <v>338</v>
      </c>
    </row>
    <row r="13" spans="1:9" ht="20.100000000000001" customHeight="1" x14ac:dyDescent="0.3">
      <c r="A13" s="8">
        <v>12</v>
      </c>
      <c r="B13" s="8" t="s">
        <v>375</v>
      </c>
      <c r="C13" s="8" t="s">
        <v>368</v>
      </c>
      <c r="D13" s="8">
        <v>1975</v>
      </c>
      <c r="E13" s="8" t="s">
        <v>341</v>
      </c>
      <c r="F13" s="8" t="s">
        <v>369</v>
      </c>
      <c r="G13" s="8" t="s">
        <v>376</v>
      </c>
      <c r="H13" s="12">
        <v>5300000</v>
      </c>
      <c r="I13" s="8" t="s">
        <v>370</v>
      </c>
    </row>
    <row r="14" spans="1:9" ht="20.100000000000001" customHeight="1" x14ac:dyDescent="0.3">
      <c r="A14" s="8">
        <v>13</v>
      </c>
      <c r="B14" s="8" t="s">
        <v>377</v>
      </c>
      <c r="C14" s="8" t="s">
        <v>378</v>
      </c>
      <c r="D14" s="8">
        <v>1975</v>
      </c>
      <c r="E14" s="8" t="s">
        <v>341</v>
      </c>
      <c r="F14" s="8" t="s">
        <v>379</v>
      </c>
      <c r="G14" s="8" t="s">
        <v>380</v>
      </c>
      <c r="H14" s="12">
        <v>6200000</v>
      </c>
      <c r="I14" s="8" t="s">
        <v>338</v>
      </c>
    </row>
    <row r="15" spans="1:9" ht="20.100000000000001" customHeight="1" x14ac:dyDescent="0.3">
      <c r="A15" s="8">
        <v>14</v>
      </c>
      <c r="B15" s="8" t="s">
        <v>381</v>
      </c>
      <c r="C15" s="8" t="s">
        <v>368</v>
      </c>
      <c r="D15" s="8">
        <v>1976</v>
      </c>
      <c r="E15" s="8" t="s">
        <v>341</v>
      </c>
      <c r="F15" s="8" t="s">
        <v>382</v>
      </c>
      <c r="G15" s="8" t="s">
        <v>383</v>
      </c>
      <c r="H15" s="12">
        <v>3600000</v>
      </c>
      <c r="I15" s="8" t="s">
        <v>338</v>
      </c>
    </row>
    <row r="16" spans="1:9" ht="20.100000000000001" customHeight="1" x14ac:dyDescent="0.3">
      <c r="A16" s="8">
        <v>15</v>
      </c>
      <c r="B16" s="8" t="s">
        <v>384</v>
      </c>
      <c r="C16" s="8" t="s">
        <v>368</v>
      </c>
      <c r="D16" s="8">
        <v>1976</v>
      </c>
      <c r="E16" s="8" t="s">
        <v>341</v>
      </c>
      <c r="F16" s="8" t="s">
        <v>385</v>
      </c>
      <c r="G16" s="8" t="s">
        <v>383</v>
      </c>
      <c r="H16" s="12">
        <v>2700000</v>
      </c>
      <c r="I16" s="8" t="s">
        <v>338</v>
      </c>
    </row>
    <row r="17" spans="1:9" ht="20.100000000000001" customHeight="1" x14ac:dyDescent="0.3">
      <c r="A17" s="8">
        <v>16</v>
      </c>
      <c r="B17" s="8" t="s">
        <v>386</v>
      </c>
      <c r="C17" s="8" t="s">
        <v>355</v>
      </c>
      <c r="D17" s="8">
        <v>1977</v>
      </c>
      <c r="E17" s="8" t="s">
        <v>341</v>
      </c>
      <c r="F17" s="8" t="s">
        <v>387</v>
      </c>
      <c r="G17" s="8" t="s">
        <v>388</v>
      </c>
      <c r="H17" s="12">
        <v>5500000</v>
      </c>
      <c r="I17" s="8" t="s">
        <v>338</v>
      </c>
    </row>
    <row r="18" spans="1:9" ht="20.100000000000001" customHeight="1" x14ac:dyDescent="0.3">
      <c r="A18" s="8">
        <v>17</v>
      </c>
      <c r="B18" s="8" t="s">
        <v>389</v>
      </c>
      <c r="C18" s="8" t="s">
        <v>355</v>
      </c>
      <c r="D18" s="8">
        <v>1977</v>
      </c>
      <c r="E18" s="8" t="s">
        <v>341</v>
      </c>
      <c r="F18" s="8" t="s">
        <v>379</v>
      </c>
      <c r="G18" s="8" t="s">
        <v>390</v>
      </c>
      <c r="H18" s="12">
        <v>4200000</v>
      </c>
      <c r="I18" s="8" t="s">
        <v>338</v>
      </c>
    </row>
    <row r="19" spans="1:9" ht="20.100000000000001" customHeight="1" x14ac:dyDescent="0.3">
      <c r="A19" s="8">
        <v>18</v>
      </c>
      <c r="B19" s="8" t="s">
        <v>391</v>
      </c>
      <c r="C19" s="8" t="s">
        <v>345</v>
      </c>
      <c r="D19" s="8">
        <v>1977</v>
      </c>
      <c r="E19" s="8" t="s">
        <v>341</v>
      </c>
      <c r="F19" s="8" t="s">
        <v>392</v>
      </c>
      <c r="G19" s="8" t="s">
        <v>392</v>
      </c>
      <c r="H19" s="12">
        <v>2900000</v>
      </c>
      <c r="I19" s="8" t="s">
        <v>370</v>
      </c>
    </row>
    <row r="20" spans="1:9" ht="20.100000000000001" customHeight="1" x14ac:dyDescent="0.3">
      <c r="A20" s="8">
        <v>19</v>
      </c>
      <c r="B20" s="8" t="s">
        <v>393</v>
      </c>
      <c r="C20" s="8" t="s">
        <v>368</v>
      </c>
      <c r="D20" s="8">
        <v>1978</v>
      </c>
      <c r="E20" s="8" t="s">
        <v>341</v>
      </c>
      <c r="F20" s="8" t="s">
        <v>394</v>
      </c>
      <c r="G20" s="8" t="s">
        <v>383</v>
      </c>
      <c r="H20" s="12">
        <v>3900000</v>
      </c>
      <c r="I20" s="8" t="s">
        <v>370</v>
      </c>
    </row>
    <row r="21" spans="1:9" ht="20.100000000000001" customHeight="1" x14ac:dyDescent="0.3">
      <c r="A21" s="8">
        <v>20</v>
      </c>
      <c r="B21" s="8" t="s">
        <v>395</v>
      </c>
      <c r="C21" s="8" t="s">
        <v>345</v>
      </c>
      <c r="D21" s="8">
        <v>1978</v>
      </c>
      <c r="E21" s="8" t="s">
        <v>341</v>
      </c>
      <c r="F21" s="8" t="s">
        <v>396</v>
      </c>
      <c r="G21" s="8" t="s">
        <v>396</v>
      </c>
      <c r="H21" s="12">
        <v>3700000</v>
      </c>
      <c r="I21" s="8" t="s">
        <v>338</v>
      </c>
    </row>
    <row r="22" spans="1:9" ht="20.100000000000001" customHeight="1" x14ac:dyDescent="0.3">
      <c r="A22" s="8">
        <v>21</v>
      </c>
      <c r="B22" s="8" t="s">
        <v>397</v>
      </c>
      <c r="C22" s="8" t="s">
        <v>398</v>
      </c>
      <c r="D22" s="8">
        <v>1979</v>
      </c>
      <c r="E22" s="8" t="s">
        <v>341</v>
      </c>
      <c r="F22" s="8" t="s">
        <v>369</v>
      </c>
      <c r="G22" s="8" t="s">
        <v>366</v>
      </c>
      <c r="H22" s="12">
        <v>4300000</v>
      </c>
      <c r="I22" s="8" t="s">
        <v>338</v>
      </c>
    </row>
    <row r="23" spans="1:9" ht="20.100000000000001" customHeight="1" x14ac:dyDescent="0.3">
      <c r="A23" s="8">
        <v>22</v>
      </c>
      <c r="B23" s="8" t="s">
        <v>399</v>
      </c>
      <c r="C23" s="8" t="s">
        <v>400</v>
      </c>
      <c r="D23" s="8">
        <v>1980</v>
      </c>
      <c r="E23" s="8" t="s">
        <v>356</v>
      </c>
      <c r="F23" s="8" t="s">
        <v>357</v>
      </c>
      <c r="G23" s="8" t="s">
        <v>401</v>
      </c>
      <c r="H23" s="12">
        <v>2600000</v>
      </c>
      <c r="I23" s="8" t="s">
        <v>338</v>
      </c>
    </row>
    <row r="24" spans="1:9" ht="20.100000000000001" customHeight="1" x14ac:dyDescent="0.3">
      <c r="A24" s="8">
        <v>23</v>
      </c>
      <c r="B24" s="8" t="s">
        <v>402</v>
      </c>
      <c r="C24" s="8" t="s">
        <v>368</v>
      </c>
      <c r="D24" s="8">
        <v>1980</v>
      </c>
      <c r="E24" s="8" t="s">
        <v>335</v>
      </c>
      <c r="F24" s="8" t="s">
        <v>403</v>
      </c>
      <c r="G24" s="8" t="s">
        <v>404</v>
      </c>
      <c r="H24" s="12">
        <v>2800000</v>
      </c>
      <c r="I24" s="8" t="s">
        <v>338</v>
      </c>
    </row>
    <row r="25" spans="1:9" ht="20.100000000000001" customHeight="1" x14ac:dyDescent="0.3">
      <c r="A25" s="8">
        <v>24</v>
      </c>
      <c r="B25" s="8" t="s">
        <v>405</v>
      </c>
      <c r="C25" s="8" t="s">
        <v>368</v>
      </c>
      <c r="D25" s="8">
        <v>1981</v>
      </c>
      <c r="E25" s="8" t="s">
        <v>335</v>
      </c>
      <c r="F25" s="8" t="s">
        <v>406</v>
      </c>
      <c r="G25" s="8" t="s">
        <v>404</v>
      </c>
      <c r="H25" s="12">
        <v>2700000</v>
      </c>
      <c r="I25" s="8" t="s">
        <v>338</v>
      </c>
    </row>
    <row r="26" spans="1:9" ht="20.100000000000001" customHeight="1" x14ac:dyDescent="0.3">
      <c r="A26" s="8">
        <v>25</v>
      </c>
      <c r="B26" s="8" t="s">
        <v>407</v>
      </c>
      <c r="C26" s="8" t="s">
        <v>378</v>
      </c>
      <c r="D26" s="8">
        <v>1981</v>
      </c>
      <c r="E26" s="8" t="s">
        <v>335</v>
      </c>
      <c r="F26" s="8" t="s">
        <v>408</v>
      </c>
      <c r="G26" s="8" t="s">
        <v>409</v>
      </c>
      <c r="H26" s="12">
        <v>3900000</v>
      </c>
      <c r="I26" s="8" t="s">
        <v>338</v>
      </c>
    </row>
    <row r="27" spans="1:9" ht="20.100000000000001" customHeight="1" x14ac:dyDescent="0.3">
      <c r="A27" s="8">
        <v>26</v>
      </c>
      <c r="B27" s="8" t="s">
        <v>410</v>
      </c>
      <c r="C27" s="8" t="s">
        <v>378</v>
      </c>
      <c r="D27" s="8">
        <v>1981</v>
      </c>
      <c r="E27" s="8" t="s">
        <v>341</v>
      </c>
      <c r="F27" s="8" t="s">
        <v>379</v>
      </c>
      <c r="G27" s="8" t="s">
        <v>388</v>
      </c>
      <c r="H27" s="12">
        <v>5900000</v>
      </c>
      <c r="I27" s="8" t="s">
        <v>338</v>
      </c>
    </row>
    <row r="28" spans="1:9" ht="20.100000000000001" customHeight="1" x14ac:dyDescent="0.3">
      <c r="A28" s="8">
        <v>27</v>
      </c>
      <c r="B28" s="8" t="s">
        <v>411</v>
      </c>
      <c r="C28" s="8" t="s">
        <v>368</v>
      </c>
      <c r="D28" s="8">
        <v>1982</v>
      </c>
      <c r="E28" s="8" t="s">
        <v>356</v>
      </c>
      <c r="F28" s="8" t="s">
        <v>412</v>
      </c>
      <c r="G28" s="8" t="s">
        <v>413</v>
      </c>
      <c r="H28" s="12">
        <v>4900000</v>
      </c>
      <c r="I28" s="8" t="s">
        <v>370</v>
      </c>
    </row>
    <row r="29" spans="1:9" ht="20.100000000000001" customHeight="1" x14ac:dyDescent="0.3">
      <c r="A29" s="8">
        <v>28</v>
      </c>
      <c r="B29" s="8" t="s">
        <v>414</v>
      </c>
      <c r="C29" s="8" t="s">
        <v>368</v>
      </c>
      <c r="D29" s="8">
        <v>1982</v>
      </c>
      <c r="E29" s="8" t="s">
        <v>341</v>
      </c>
      <c r="F29" s="8" t="s">
        <v>415</v>
      </c>
      <c r="G29" s="8" t="s">
        <v>416</v>
      </c>
      <c r="H29" s="12">
        <v>1900000</v>
      </c>
      <c r="I29" s="8" t="s">
        <v>338</v>
      </c>
    </row>
    <row r="30" spans="1:9" ht="20.100000000000001" customHeight="1" x14ac:dyDescent="0.3">
      <c r="A30" s="8">
        <v>29</v>
      </c>
      <c r="B30" s="8" t="s">
        <v>417</v>
      </c>
      <c r="C30" s="8" t="s">
        <v>355</v>
      </c>
      <c r="D30" s="8">
        <v>1982</v>
      </c>
      <c r="E30" s="8" t="s">
        <v>341</v>
      </c>
      <c r="F30" s="8" t="s">
        <v>379</v>
      </c>
      <c r="G30" s="8" t="s">
        <v>169</v>
      </c>
      <c r="H30" s="12">
        <v>8300000.0000000009</v>
      </c>
      <c r="I30" s="8" t="s">
        <v>338</v>
      </c>
    </row>
    <row r="31" spans="1:9" ht="20.100000000000001" customHeight="1" x14ac:dyDescent="0.3">
      <c r="A31" s="8">
        <v>30</v>
      </c>
      <c r="B31" s="8" t="s">
        <v>418</v>
      </c>
      <c r="C31" s="8" t="s">
        <v>378</v>
      </c>
      <c r="D31" s="8">
        <v>1983</v>
      </c>
      <c r="E31" s="8" t="s">
        <v>341</v>
      </c>
      <c r="F31" s="8" t="s">
        <v>419</v>
      </c>
      <c r="G31" s="8" t="s">
        <v>420</v>
      </c>
      <c r="H31" s="12">
        <v>7400000</v>
      </c>
      <c r="I31" s="8" t="s">
        <v>338</v>
      </c>
    </row>
    <row r="32" spans="1:9" ht="20.100000000000001" customHeight="1" x14ac:dyDescent="0.3">
      <c r="A32" s="8">
        <v>31</v>
      </c>
      <c r="B32" s="8" t="s">
        <v>421</v>
      </c>
      <c r="C32" s="8" t="s">
        <v>334</v>
      </c>
      <c r="D32" s="8">
        <v>1983</v>
      </c>
      <c r="E32" s="8" t="s">
        <v>341</v>
      </c>
      <c r="F32" s="8" t="s">
        <v>422</v>
      </c>
      <c r="G32" s="8" t="s">
        <v>401</v>
      </c>
      <c r="H32" s="12">
        <v>4300000</v>
      </c>
      <c r="I32" s="8" t="s">
        <v>370</v>
      </c>
    </row>
    <row r="33" spans="1:9" ht="20.100000000000001" customHeight="1" x14ac:dyDescent="0.3">
      <c r="A33" s="8">
        <v>32</v>
      </c>
      <c r="B33" s="8" t="s">
        <v>423</v>
      </c>
      <c r="C33" s="8" t="s">
        <v>340</v>
      </c>
      <c r="D33" s="8">
        <v>1984</v>
      </c>
      <c r="E33" s="8" t="s">
        <v>341</v>
      </c>
      <c r="F33" s="8" t="s">
        <v>369</v>
      </c>
      <c r="G33" s="8" t="s">
        <v>424</v>
      </c>
      <c r="H33" s="12">
        <v>1500000</v>
      </c>
      <c r="I33" s="8" t="s">
        <v>338</v>
      </c>
    </row>
    <row r="34" spans="1:9" ht="20.100000000000001" customHeight="1" x14ac:dyDescent="0.3">
      <c r="A34" s="8">
        <v>33</v>
      </c>
      <c r="B34" s="8" t="s">
        <v>425</v>
      </c>
      <c r="C34" s="8" t="s">
        <v>372</v>
      </c>
      <c r="D34" s="8">
        <v>1985</v>
      </c>
      <c r="E34" s="8" t="s">
        <v>341</v>
      </c>
      <c r="F34" s="8" t="s">
        <v>394</v>
      </c>
      <c r="G34" s="8" t="s">
        <v>426</v>
      </c>
      <c r="H34" s="12">
        <v>2800000</v>
      </c>
      <c r="I34" s="8" t="s">
        <v>338</v>
      </c>
    </row>
    <row r="35" spans="1:9" ht="20.100000000000001" customHeight="1" x14ac:dyDescent="0.3">
      <c r="A35" s="8">
        <v>34</v>
      </c>
      <c r="B35" s="8" t="s">
        <v>427</v>
      </c>
      <c r="C35" s="8" t="s">
        <v>355</v>
      </c>
      <c r="D35" s="8">
        <v>1985</v>
      </c>
      <c r="E35" s="8" t="s">
        <v>341</v>
      </c>
      <c r="F35" s="8" t="s">
        <v>428</v>
      </c>
      <c r="G35" s="8" t="s">
        <v>420</v>
      </c>
      <c r="H35" s="12">
        <v>2300000</v>
      </c>
      <c r="I35" s="8" t="s">
        <v>338</v>
      </c>
    </row>
    <row r="36" spans="1:9" ht="20.100000000000001" customHeight="1" x14ac:dyDescent="0.3">
      <c r="A36" s="8">
        <v>35</v>
      </c>
      <c r="B36" s="8" t="s">
        <v>429</v>
      </c>
      <c r="C36" s="8" t="s">
        <v>355</v>
      </c>
      <c r="D36" s="8">
        <v>1985</v>
      </c>
      <c r="E36" s="8" t="s">
        <v>356</v>
      </c>
      <c r="F36" s="8" t="s">
        <v>430</v>
      </c>
      <c r="G36" s="8" t="s">
        <v>431</v>
      </c>
      <c r="H36" s="12">
        <v>3500000</v>
      </c>
      <c r="I36" s="8" t="s">
        <v>338</v>
      </c>
    </row>
    <row r="37" spans="1:9" ht="20.100000000000001" customHeight="1" x14ac:dyDescent="0.3">
      <c r="A37" s="8">
        <v>36</v>
      </c>
      <c r="B37" s="8" t="s">
        <v>432</v>
      </c>
      <c r="C37" s="8" t="s">
        <v>378</v>
      </c>
      <c r="D37" s="8">
        <v>1985</v>
      </c>
      <c r="E37" s="8" t="s">
        <v>341</v>
      </c>
      <c r="F37" s="8" t="s">
        <v>433</v>
      </c>
      <c r="G37" s="8" t="s">
        <v>434</v>
      </c>
      <c r="H37" s="12">
        <v>4700000</v>
      </c>
      <c r="I37" s="8" t="s">
        <v>370</v>
      </c>
    </row>
    <row r="38" spans="1:9" ht="20.100000000000001" customHeight="1" x14ac:dyDescent="0.3">
      <c r="A38" s="8">
        <v>37</v>
      </c>
      <c r="B38" s="8" t="s">
        <v>435</v>
      </c>
      <c r="C38" s="8" t="s">
        <v>334</v>
      </c>
      <c r="D38" s="8">
        <v>1985</v>
      </c>
      <c r="E38" s="8" t="s">
        <v>341</v>
      </c>
      <c r="F38" s="8" t="s">
        <v>392</v>
      </c>
      <c r="G38" s="8" t="s">
        <v>436</v>
      </c>
      <c r="H38" s="12">
        <v>3400000</v>
      </c>
      <c r="I38" s="8" t="s">
        <v>338</v>
      </c>
    </row>
    <row r="39" spans="1:9" ht="20.100000000000001" customHeight="1" x14ac:dyDescent="0.3">
      <c r="A39" s="8">
        <v>38</v>
      </c>
      <c r="B39" s="8" t="s">
        <v>437</v>
      </c>
      <c r="C39" s="8" t="s">
        <v>368</v>
      </c>
      <c r="D39" s="8">
        <v>1986</v>
      </c>
      <c r="E39" s="8" t="s">
        <v>335</v>
      </c>
      <c r="F39" s="8" t="s">
        <v>438</v>
      </c>
      <c r="G39" s="8" t="s">
        <v>439</v>
      </c>
      <c r="H39" s="12">
        <v>6000000</v>
      </c>
      <c r="I39" s="8" t="s">
        <v>338</v>
      </c>
    </row>
    <row r="40" spans="1:9" ht="20.100000000000001" customHeight="1" x14ac:dyDescent="0.3">
      <c r="A40" s="8">
        <v>39</v>
      </c>
      <c r="B40" s="8" t="s">
        <v>440</v>
      </c>
      <c r="C40" s="8" t="s">
        <v>368</v>
      </c>
      <c r="D40" s="8">
        <v>1986</v>
      </c>
      <c r="E40" s="8" t="s">
        <v>335</v>
      </c>
      <c r="F40" s="8" t="s">
        <v>438</v>
      </c>
      <c r="G40" s="8" t="s">
        <v>439</v>
      </c>
      <c r="H40" s="12">
        <v>4300000</v>
      </c>
      <c r="I40" s="8" t="s">
        <v>338</v>
      </c>
    </row>
    <row r="41" spans="1:9" ht="20.100000000000001" customHeight="1" x14ac:dyDescent="0.3">
      <c r="A41" s="8">
        <v>40</v>
      </c>
      <c r="B41" s="8" t="s">
        <v>441</v>
      </c>
      <c r="C41" s="8" t="s">
        <v>378</v>
      </c>
      <c r="D41" s="8">
        <v>1986</v>
      </c>
      <c r="E41" s="8" t="s">
        <v>341</v>
      </c>
      <c r="F41" s="8" t="s">
        <v>352</v>
      </c>
      <c r="G41" s="8" t="s">
        <v>352</v>
      </c>
      <c r="H41" s="12">
        <v>1900000</v>
      </c>
      <c r="I41" s="8" t="s">
        <v>338</v>
      </c>
    </row>
    <row r="42" spans="1:9" ht="20.100000000000001" customHeight="1" x14ac:dyDescent="0.3">
      <c r="A42" s="8">
        <v>41</v>
      </c>
      <c r="B42" s="8" t="s">
        <v>442</v>
      </c>
      <c r="C42" s="8" t="s">
        <v>345</v>
      </c>
      <c r="D42" s="8">
        <v>1986</v>
      </c>
      <c r="E42" s="8" t="s">
        <v>335</v>
      </c>
      <c r="F42" s="8" t="s">
        <v>443</v>
      </c>
      <c r="G42" s="8" t="s">
        <v>444</v>
      </c>
      <c r="H42" s="12">
        <v>10000000</v>
      </c>
      <c r="I42" s="8" t="s">
        <v>338</v>
      </c>
    </row>
    <row r="43" spans="1:9" ht="20.100000000000001" customHeight="1" x14ac:dyDescent="0.3">
      <c r="A43" s="8">
        <v>42</v>
      </c>
      <c r="B43" s="8" t="s">
        <v>445</v>
      </c>
      <c r="C43" s="8" t="s">
        <v>368</v>
      </c>
      <c r="D43" s="8">
        <v>1986</v>
      </c>
      <c r="E43" s="8" t="s">
        <v>335</v>
      </c>
      <c r="F43" s="8" t="s">
        <v>408</v>
      </c>
      <c r="G43" s="8" t="s">
        <v>446</v>
      </c>
      <c r="H43" s="12">
        <v>8900000</v>
      </c>
      <c r="I43" s="8" t="s">
        <v>338</v>
      </c>
    </row>
    <row r="44" spans="1:9" ht="20.100000000000001" customHeight="1" x14ac:dyDescent="0.3">
      <c r="A44" s="8">
        <v>43</v>
      </c>
      <c r="B44" s="8" t="s">
        <v>447</v>
      </c>
      <c r="C44" s="8" t="s">
        <v>378</v>
      </c>
      <c r="D44" s="8">
        <v>1986</v>
      </c>
      <c r="E44" s="8" t="s">
        <v>341</v>
      </c>
      <c r="F44" s="8" t="s">
        <v>448</v>
      </c>
      <c r="G44" s="8" t="s">
        <v>449</v>
      </c>
      <c r="H44" s="12">
        <v>5800000</v>
      </c>
      <c r="I44" s="8" t="s">
        <v>338</v>
      </c>
    </row>
    <row r="45" spans="1:9" ht="20.100000000000001" customHeight="1" x14ac:dyDescent="0.3">
      <c r="A45" s="8">
        <v>44</v>
      </c>
      <c r="B45" s="8" t="s">
        <v>450</v>
      </c>
      <c r="C45" s="8" t="s">
        <v>368</v>
      </c>
      <c r="D45" s="8">
        <v>1987</v>
      </c>
      <c r="E45" s="8" t="s">
        <v>350</v>
      </c>
      <c r="F45" s="8" t="s">
        <v>365</v>
      </c>
      <c r="G45" s="8" t="s">
        <v>451</v>
      </c>
      <c r="H45" s="12">
        <v>7500000</v>
      </c>
      <c r="I45" s="8" t="s">
        <v>370</v>
      </c>
    </row>
    <row r="46" spans="1:9" ht="20.100000000000001" customHeight="1" x14ac:dyDescent="0.3">
      <c r="A46" s="8">
        <v>45</v>
      </c>
      <c r="B46" s="8" t="s">
        <v>452</v>
      </c>
      <c r="C46" s="8" t="s">
        <v>368</v>
      </c>
      <c r="D46" s="8">
        <v>1987</v>
      </c>
      <c r="E46" s="8" t="s">
        <v>335</v>
      </c>
      <c r="F46" s="8" t="s">
        <v>453</v>
      </c>
      <c r="G46" s="8" t="s">
        <v>404</v>
      </c>
      <c r="H46" s="12">
        <v>2900000</v>
      </c>
      <c r="I46" s="8" t="s">
        <v>338</v>
      </c>
    </row>
    <row r="47" spans="1:9" ht="20.100000000000001" customHeight="1" x14ac:dyDescent="0.3">
      <c r="A47" s="8">
        <v>46</v>
      </c>
      <c r="B47" s="8" t="s">
        <v>454</v>
      </c>
      <c r="C47" s="8" t="s">
        <v>378</v>
      </c>
      <c r="D47" s="8">
        <v>1988</v>
      </c>
      <c r="E47" s="8" t="s">
        <v>335</v>
      </c>
      <c r="F47" s="8" t="s">
        <v>408</v>
      </c>
      <c r="G47" s="8" t="s">
        <v>455</v>
      </c>
      <c r="H47" s="12">
        <v>7800000</v>
      </c>
      <c r="I47" s="8" t="s">
        <v>338</v>
      </c>
    </row>
    <row r="48" spans="1:9" ht="20.100000000000001" customHeight="1" x14ac:dyDescent="0.3">
      <c r="A48" s="8">
        <v>47</v>
      </c>
      <c r="B48" s="8" t="s">
        <v>456</v>
      </c>
      <c r="C48" s="8" t="s">
        <v>378</v>
      </c>
      <c r="D48" s="8">
        <v>1988</v>
      </c>
      <c r="E48" s="8" t="s">
        <v>335</v>
      </c>
      <c r="F48" s="8" t="s">
        <v>457</v>
      </c>
      <c r="G48" s="8" t="s">
        <v>458</v>
      </c>
      <c r="H48" s="12">
        <v>5900000</v>
      </c>
      <c r="I48" s="8" t="s">
        <v>338</v>
      </c>
    </row>
    <row r="49" spans="1:9" ht="20.100000000000001" customHeight="1" x14ac:dyDescent="0.3">
      <c r="A49" s="8">
        <v>48</v>
      </c>
      <c r="B49" s="8" t="s">
        <v>459</v>
      </c>
      <c r="C49" s="8" t="s">
        <v>345</v>
      </c>
      <c r="D49" s="8">
        <v>1988</v>
      </c>
      <c r="E49" s="8" t="s">
        <v>341</v>
      </c>
      <c r="F49" s="8" t="s">
        <v>460</v>
      </c>
      <c r="G49" s="8" t="s">
        <v>461</v>
      </c>
      <c r="H49" s="12">
        <v>3600000</v>
      </c>
      <c r="I49" s="8" t="s">
        <v>338</v>
      </c>
    </row>
    <row r="50" spans="1:9" ht="20.100000000000001" customHeight="1" x14ac:dyDescent="0.3">
      <c r="A50" s="8">
        <v>49</v>
      </c>
      <c r="B50" s="8" t="s">
        <v>462</v>
      </c>
      <c r="C50" s="8" t="s">
        <v>334</v>
      </c>
      <c r="D50" s="8">
        <v>1989</v>
      </c>
      <c r="E50" s="8" t="s">
        <v>341</v>
      </c>
      <c r="F50" s="8" t="s">
        <v>392</v>
      </c>
      <c r="G50" s="8" t="s">
        <v>392</v>
      </c>
      <c r="H50" s="12">
        <v>2400000</v>
      </c>
      <c r="I50" s="8" t="s">
        <v>338</v>
      </c>
    </row>
    <row r="51" spans="1:9" ht="20.100000000000001" customHeight="1" x14ac:dyDescent="0.3">
      <c r="A51" s="8">
        <v>50</v>
      </c>
      <c r="B51" s="8" t="s">
        <v>463</v>
      </c>
      <c r="C51" s="8" t="s">
        <v>368</v>
      </c>
      <c r="D51" s="8">
        <v>1990</v>
      </c>
      <c r="E51" s="8" t="s">
        <v>341</v>
      </c>
      <c r="F51" s="8" t="s">
        <v>369</v>
      </c>
      <c r="G51" s="8" t="s">
        <v>376</v>
      </c>
      <c r="H51" s="12">
        <v>3800000</v>
      </c>
      <c r="I51" s="8" t="s">
        <v>338</v>
      </c>
    </row>
    <row r="52" spans="1:9" ht="20.100000000000001" customHeight="1" x14ac:dyDescent="0.3">
      <c r="A52" s="8">
        <v>51</v>
      </c>
      <c r="B52" s="8" t="s">
        <v>464</v>
      </c>
      <c r="C52" s="8" t="s">
        <v>355</v>
      </c>
      <c r="D52" s="8">
        <v>1990</v>
      </c>
      <c r="E52" s="8" t="s">
        <v>341</v>
      </c>
      <c r="F52" s="8" t="s">
        <v>465</v>
      </c>
      <c r="G52" s="8" t="s">
        <v>466</v>
      </c>
      <c r="H52" s="12">
        <v>5600000</v>
      </c>
      <c r="I52" s="8" t="s">
        <v>338</v>
      </c>
    </row>
  </sheetData>
  <pageMargins left="0.7" right="0.7" top="0.75" bottom="0.75" header="0.3" footer="0.3"/>
  <pageSetup paperSize="9" scale="9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Filtre 1</vt:lpstr>
      <vt:lpstr>Filtre 2</vt:lpstr>
      <vt:lpstr>Filtre 3</vt:lpstr>
      <vt:lpstr>Filtre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</dc:creator>
  <cp:lastModifiedBy>VAN Phuoc</cp:lastModifiedBy>
  <cp:lastPrinted>2025-06-29T11:49:20Z</cp:lastPrinted>
  <dcterms:created xsi:type="dcterms:W3CDTF">2020-06-29T10:43:38Z</dcterms:created>
  <dcterms:modified xsi:type="dcterms:W3CDTF">2025-06-30T10:43:21Z</dcterms:modified>
</cp:coreProperties>
</file>